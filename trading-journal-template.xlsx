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 Log" sheetId="1" state="visible" r:id="rId1"/>
    <sheet name="Dashboard" sheetId="2" state="visible" r:id="rId2"/>
    <sheet name="Daily Log" sheetId="3" state="visible" r:id="rId3"/>
    <sheet name="How To U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YYYY-MM-DD"/>
    <numFmt numFmtId="166" formatCode="HH:MM"/>
    <numFmt numFmtId="167" formatCode="$#,##0.00"/>
    <numFmt numFmtId="168" formatCode="0.00&quot;R&quot;"/>
    <numFmt numFmtId="169" formatCode="0.0%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555555"/>
      <sz val="10"/>
    </font>
    <font>
      <name val="Calibri"/>
      <b val="1"/>
      <color rgb="001A1A1A"/>
      <sz val="16"/>
    </font>
    <font>
      <name val="Calibri"/>
      <color rgb="00888888"/>
      <sz val="10"/>
    </font>
    <font>
      <name val="Calibri"/>
      <b val="1"/>
      <color rgb="001A1A1A"/>
      <sz val="18"/>
    </font>
    <font>
      <name val="Calibri"/>
      <b val="1"/>
      <color rgb="001A1A1A"/>
      <sz val="13"/>
    </font>
    <font>
      <name val="Calibri"/>
      <b val="1"/>
      <color rgb="001A1A1A"/>
      <sz val="10"/>
    </font>
    <font>
      <name val="Calibri"/>
      <color rgb="00C8553D"/>
      <sz val="11"/>
    </font>
    <font>
      <name val="Calibri"/>
      <b val="1"/>
      <color rgb="001A1A1A"/>
      <sz val="12"/>
    </font>
  </fonts>
  <fills count="4">
    <fill>
      <patternFill/>
    </fill>
    <fill>
      <patternFill patternType="gray125"/>
    </fill>
    <fill>
      <patternFill patternType="solid">
        <fgColor rgb="001A1A1A"/>
        <bgColor rgb="001A1A1A"/>
      </patternFill>
    </fill>
    <fill>
      <patternFill patternType="solid">
        <fgColor rgb="00F5F3EF"/>
        <bgColor rgb="00F5F3EF"/>
      </patternFill>
    </fill>
  </fills>
  <borders count="5">
    <border>
      <left/>
      <right/>
      <top/>
      <bottom/>
      <diagonal/>
    </border>
    <border>
      <left style="thin">
        <color rgb="00E5E2DC"/>
      </left>
      <right style="thin">
        <color rgb="00E5E2DC"/>
      </right>
      <top style="thin">
        <color rgb="00E5E2DC"/>
      </top>
      <bottom style="thin">
        <color rgb="00E5E2DC"/>
      </bottom>
    </border>
    <border>
      <left/>
      <right/>
      <top style="thin">
        <color rgb="00E5E2DC"/>
      </top>
      <bottom/>
      <diagonal/>
    </border>
    <border>
      <left/>
      <right style="thin">
        <color rgb="00E5E2DC"/>
      </right>
      <top style="thin">
        <color rgb="00E5E2DC"/>
      </top>
      <bottom/>
      <diagonal/>
    </border>
    <border>
      <left/>
      <right style="thin">
        <color rgb="00E5E2DC"/>
      </right>
      <top style="thin">
        <color rgb="00E5E2DC"/>
      </top>
      <bottom style="thin">
        <color rgb="00E5E2DC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5" fontId="2" fillId="0" borderId="1" applyAlignment="1" pivotButton="0" quotePrefix="0" xfId="0">
      <alignment horizontal="center" vertical="center"/>
    </xf>
    <xf numFmtId="166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center" vertical="center"/>
    </xf>
    <xf numFmtId="167" fontId="2" fillId="0" borderId="1" applyAlignment="1" pivotButton="0" quotePrefix="0" xfId="0">
      <alignment horizontal="center" vertical="center"/>
    </xf>
    <xf numFmtId="168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pivotButton="0" quotePrefix="0" xfId="0"/>
    <xf numFmtId="0" fontId="4" fillId="0" borderId="1" applyAlignment="1" pivotButton="0" quotePrefix="0" xfId="0">
      <alignment horizontal="center"/>
    </xf>
    <xf numFmtId="0" fontId="0" fillId="0" borderId="4" pivotButton="0" quotePrefix="0" xfId="0"/>
    <xf numFmtId="3" fontId="5" fillId="0" borderId="1" applyAlignment="1" pivotButton="0" quotePrefix="0" xfId="0">
      <alignment horizontal="center"/>
    </xf>
    <xf numFmtId="169" fontId="5" fillId="0" borderId="1" applyAlignment="1" pivotButton="0" quotePrefix="0" xfId="0">
      <alignment horizontal="center"/>
    </xf>
    <xf numFmtId="167" fontId="5" fillId="0" borderId="1" applyAlignment="1" pivotButton="0" quotePrefix="0" xfId="0">
      <alignment horizontal="center"/>
    </xf>
    <xf numFmtId="2" fontId="5" fillId="0" borderId="1" applyAlignment="1" pivotButton="0" quotePrefix="0" xfId="0">
      <alignment horizontal="center"/>
    </xf>
    <xf numFmtId="0" fontId="6" fillId="0" borderId="0" pivotButton="0" quotePrefix="0" xfId="0"/>
    <xf numFmtId="0" fontId="7" fillId="3" borderId="1" applyAlignment="1" pivotButton="0" quotePrefix="0" xfId="0">
      <alignment horizontal="center" vertical="center"/>
    </xf>
    <xf numFmtId="0" fontId="2" fillId="0" borderId="1" pivotButton="0" quotePrefix="0" xfId="0"/>
    <xf numFmtId="169" fontId="2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dxfs count="4">
    <dxf>
      <font>
        <name val="Calibri"/>
        <b val="1"/>
        <color rgb="002E7D32"/>
        <sz val="10"/>
      </font>
      <fill>
        <patternFill patternType="solid">
          <fgColor rgb="00E8F5E9"/>
          <bgColor rgb="00E8F5E9"/>
        </patternFill>
      </fill>
    </dxf>
    <dxf>
      <font>
        <name val="Calibri"/>
        <b val="1"/>
        <color rgb="00C62828"/>
        <sz val="10"/>
      </font>
      <fill>
        <patternFill patternType="solid">
          <fgColor rgb="00FFEBEE"/>
          <bgColor rgb="00FFEBEE"/>
        </patternFill>
      </fill>
    </dxf>
    <dxf>
      <font>
        <name val="Calibri"/>
        <b val="1"/>
        <color rgb="001565C0"/>
        <sz val="10"/>
      </font>
      <fill>
        <patternFill patternType="solid">
          <fgColor rgb="00E3F2FD"/>
          <bgColor rgb="00E3F2FD"/>
        </patternFill>
      </fill>
    </dxf>
    <dxf>
      <font>
        <name val="Calibri"/>
        <b val="1"/>
        <color rgb="00E65100"/>
        <sz val="10"/>
      </font>
      <fill>
        <patternFill patternType="solid">
          <fgColor rgb="00FFF3E0"/>
          <bgColor rgb="00FFF3E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8553D"/>
    <outlinePr summaryBelow="1" summaryRight="1"/>
    <pageSetUpPr/>
  </sheetPr>
  <dimension ref="A1:N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8" customWidth="1" min="4" max="4"/>
    <col width="16" customWidth="1" min="5" max="5"/>
    <col width="12" customWidth="1" min="6" max="6"/>
    <col width="12" customWidth="1" min="7" max="7"/>
    <col width="14" customWidth="1" min="8" max="8"/>
    <col width="12" customWidth="1" min="9" max="9"/>
    <col width="10" customWidth="1" min="10" max="10"/>
    <col width="12" customWidth="1" min="11" max="11"/>
    <col width="12" customWidth="1" min="12" max="12"/>
    <col width="30" customWidth="1" min="13" max="13"/>
    <col width="20" customWidth="1" min="14" max="14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Ticker</t>
        </is>
      </c>
      <c r="D1" s="1" t="inlineStr">
        <is>
          <t>Side</t>
        </is>
      </c>
      <c r="E1" s="1" t="inlineStr">
        <is>
          <t>Strategy</t>
        </is>
      </c>
      <c r="F1" s="1" t="inlineStr">
        <is>
          <t>Entry Price</t>
        </is>
      </c>
      <c r="G1" s="1" t="inlineStr">
        <is>
          <t>Exit Price</t>
        </is>
      </c>
      <c r="H1" s="1" t="inlineStr">
        <is>
          <t>Position Size</t>
        </is>
      </c>
      <c r="I1" s="1" t="inlineStr">
        <is>
          <t>Gross P&amp;L</t>
        </is>
      </c>
      <c r="J1" s="1" t="inlineStr">
        <is>
          <t>Fees</t>
        </is>
      </c>
      <c r="K1" s="1" t="inlineStr">
        <is>
          <t>Net P&amp;L</t>
        </is>
      </c>
      <c r="L1" s="1" t="inlineStr">
        <is>
          <t>R-Multiple</t>
        </is>
      </c>
      <c r="M1" s="1" t="inlineStr">
        <is>
          <t>Notes</t>
        </is>
      </c>
      <c r="N1" s="1" t="inlineStr">
        <is>
          <t>Screenshot Link</t>
        </is>
      </c>
    </row>
    <row r="2">
      <c r="A2" s="2" t="n">
        <v>46082</v>
      </c>
      <c r="B2" s="3" t="n">
        <v>0.3993055555555556</v>
      </c>
      <c r="C2" s="4" t="inlineStr">
        <is>
          <t>AAPL</t>
        </is>
      </c>
      <c r="D2" s="4" t="inlineStr">
        <is>
          <t>Long</t>
        </is>
      </c>
      <c r="E2" s="4" t="inlineStr">
        <is>
          <t>Breakout</t>
        </is>
      </c>
      <c r="F2" s="5" t="n">
        <v>178.5</v>
      </c>
      <c r="G2" s="5" t="n">
        <v>181.2</v>
      </c>
      <c r="H2" s="4" t="n">
        <v>100</v>
      </c>
      <c r="I2" s="6">
        <f>IF(D2="Long",(G2-F2)*H2,(F2-G2)*H2)</f>
        <v/>
      </c>
      <c r="J2" s="6" t="n">
        <v>2</v>
      </c>
      <c r="K2" s="6">
        <f>I2-J2</f>
        <v/>
      </c>
      <c r="L2" s="7">
        <f>IFERROR(K2/ABS(AVERAGEIF(K2:K101,"&lt;"&amp;0)),"")</f>
        <v/>
      </c>
      <c r="M2" s="8" t="inlineStr">
        <is>
          <t>Clean breakout above resistance</t>
        </is>
      </c>
      <c r="N2" s="4" t="inlineStr"/>
    </row>
    <row r="3">
      <c r="A3" s="2" t="n">
        <v>46082</v>
      </c>
      <c r="B3" s="3" t="n">
        <v>0.4270833333333333</v>
      </c>
      <c r="C3" s="4" t="inlineStr">
        <is>
          <t>TSLA</t>
        </is>
      </c>
      <c r="D3" s="4" t="inlineStr">
        <is>
          <t>Short</t>
        </is>
      </c>
      <c r="E3" s="4" t="inlineStr">
        <is>
          <t>Mean Reversion</t>
        </is>
      </c>
      <c r="F3" s="5" t="n">
        <v>245</v>
      </c>
      <c r="G3" s="5" t="n">
        <v>248.5</v>
      </c>
      <c r="H3" s="4" t="n">
        <v>50</v>
      </c>
      <c r="I3" s="6">
        <f>IF(D3="Long",(G3-F3)*H3,(F3-G3)*H3)</f>
        <v/>
      </c>
      <c r="J3" s="6" t="n">
        <v>1.5</v>
      </c>
      <c r="K3" s="6">
        <f>I3-J3</f>
        <v/>
      </c>
      <c r="L3" s="7">
        <f>IFERROR(K3/ABS(AVERAGEIF(K2:K101,"&lt;"&amp;0)),"")</f>
        <v/>
      </c>
      <c r="M3" s="8" t="inlineStr">
        <is>
          <t>Stopped out - trend too strong</t>
        </is>
      </c>
      <c r="N3" s="4" t="inlineStr"/>
    </row>
    <row r="4">
      <c r="A4" s="2" t="n">
        <v>46082</v>
      </c>
      <c r="B4" s="3" t="n">
        <v>0.5729166666666666</v>
      </c>
      <c r="C4" s="4" t="inlineStr">
        <is>
          <t>NVDA</t>
        </is>
      </c>
      <c r="D4" s="4" t="inlineStr">
        <is>
          <t>Long</t>
        </is>
      </c>
      <c r="E4" s="4" t="inlineStr">
        <is>
          <t>Momentum</t>
        </is>
      </c>
      <c r="F4" s="5" t="n">
        <v>890</v>
      </c>
      <c r="G4" s="5" t="n">
        <v>897.5</v>
      </c>
      <c r="H4" s="4" t="n">
        <v>30</v>
      </c>
      <c r="I4" s="6">
        <f>IF(D4="Long",(G4-F4)*H4,(F4-G4)*H4)</f>
        <v/>
      </c>
      <c r="J4" s="6" t="n">
        <v>2.5</v>
      </c>
      <c r="K4" s="6">
        <f>I4-J4</f>
        <v/>
      </c>
      <c r="L4" s="7">
        <f>IFERROR(K4/ABS(AVERAGEIF(K2:K101,"&lt;"&amp;0)),"")</f>
        <v/>
      </c>
      <c r="M4" s="8" t="inlineStr">
        <is>
          <t>Held through pullback</t>
        </is>
      </c>
      <c r="N4" s="4" t="inlineStr"/>
    </row>
    <row r="5">
      <c r="A5" s="2" t="n">
        <v>46083</v>
      </c>
      <c r="B5" s="3" t="n">
        <v>0.3972222222222222</v>
      </c>
      <c r="C5" s="4" t="inlineStr">
        <is>
          <t>SPY</t>
        </is>
      </c>
      <c r="D5" s="4" t="inlineStr">
        <is>
          <t>Long</t>
        </is>
      </c>
      <c r="E5" s="4" t="inlineStr">
        <is>
          <t>Gap &amp; Go</t>
        </is>
      </c>
      <c r="F5" s="5" t="n">
        <v>512.3</v>
      </c>
      <c r="G5" s="5" t="n">
        <v>514.8</v>
      </c>
      <c r="H5" s="4" t="n">
        <v>200</v>
      </c>
      <c r="I5" s="6">
        <f>IF(D5="Long",(G5-F5)*H5,(F5-G5)*H5)</f>
        <v/>
      </c>
      <c r="J5" s="6" t="n">
        <v>3</v>
      </c>
      <c r="K5" s="6">
        <f>I5-J5</f>
        <v/>
      </c>
      <c r="L5" s="7">
        <f>IFERROR(K5/ABS(AVERAGEIF(K2:K101,"&lt;"&amp;0)),"")</f>
        <v/>
      </c>
      <c r="M5" s="8" t="inlineStr">
        <is>
          <t>Strong gap up follow-through</t>
        </is>
      </c>
      <c r="N5" s="4" t="inlineStr"/>
    </row>
    <row r="6">
      <c r="A6" s="2" t="n">
        <v>46083</v>
      </c>
      <c r="B6" s="3" t="n">
        <v>0.4722222222222222</v>
      </c>
      <c r="C6" s="4" t="inlineStr">
        <is>
          <t>META</t>
        </is>
      </c>
      <c r="D6" s="4" t="inlineStr">
        <is>
          <t>Short</t>
        </is>
      </c>
      <c r="E6" s="4" t="inlineStr">
        <is>
          <t>Rejection</t>
        </is>
      </c>
      <c r="F6" s="5" t="n">
        <v>520</v>
      </c>
      <c r="G6" s="5" t="n">
        <v>515.5</v>
      </c>
      <c r="H6" s="4" t="n">
        <v>40</v>
      </c>
      <c r="I6" s="6">
        <f>IF(D6="Long",(G6-F6)*H6,(F6-G6)*H6)</f>
        <v/>
      </c>
      <c r="J6" s="6" t="n">
        <v>1.8</v>
      </c>
      <c r="K6" s="6">
        <f>I6-J6</f>
        <v/>
      </c>
      <c r="L6" s="7">
        <f>IFERROR(K6/ABS(AVERAGEIF(K2:K101,"&lt;"&amp;0)),"")</f>
        <v/>
      </c>
      <c r="M6" s="8" t="inlineStr">
        <is>
          <t>Clean rejection at daily level</t>
        </is>
      </c>
      <c r="N6" s="4" t="inlineStr"/>
    </row>
    <row r="7">
      <c r="A7" s="2" t="n"/>
      <c r="B7" s="3" t="n"/>
      <c r="C7" s="4" t="n"/>
      <c r="D7" s="4" t="n"/>
      <c r="E7" s="4" t="n"/>
      <c r="F7" s="5" t="n"/>
      <c r="G7" s="5" t="n"/>
      <c r="H7" s="4" t="n"/>
      <c r="I7" s="6">
        <f>IF(D7="Long",(G7-F7)*H7,(F7-G7)*H7)</f>
        <v/>
      </c>
      <c r="J7" s="6" t="n"/>
      <c r="K7" s="6">
        <f>I7-J7</f>
        <v/>
      </c>
      <c r="L7" s="7">
        <f>IFERROR(K7/ABS(AVERAGEIF(K2:K101,"&lt;"&amp;0)),"")</f>
        <v/>
      </c>
      <c r="M7" s="8" t="n"/>
      <c r="N7" s="4" t="n"/>
    </row>
    <row r="8">
      <c r="A8" s="2" t="n"/>
      <c r="B8" s="3" t="n"/>
      <c r="C8" s="4" t="n"/>
      <c r="D8" s="4" t="n"/>
      <c r="E8" s="4" t="n"/>
      <c r="F8" s="5" t="n"/>
      <c r="G8" s="5" t="n"/>
      <c r="H8" s="4" t="n"/>
      <c r="I8" s="6">
        <f>IF(D8="Long",(G8-F8)*H8,(F8-G8)*H8)</f>
        <v/>
      </c>
      <c r="J8" s="6" t="n"/>
      <c r="K8" s="6">
        <f>I8-J8</f>
        <v/>
      </c>
      <c r="L8" s="7">
        <f>IFERROR(K8/ABS(AVERAGEIF(K2:K101,"&lt;"&amp;0)),"")</f>
        <v/>
      </c>
      <c r="M8" s="8" t="n"/>
      <c r="N8" s="4" t="n"/>
    </row>
    <row r="9">
      <c r="A9" s="2" t="n"/>
      <c r="B9" s="3" t="n"/>
      <c r="C9" s="4" t="n"/>
      <c r="D9" s="4" t="n"/>
      <c r="E9" s="4" t="n"/>
      <c r="F9" s="5" t="n"/>
      <c r="G9" s="5" t="n"/>
      <c r="H9" s="4" t="n"/>
      <c r="I9" s="6">
        <f>IF(D9="Long",(G9-F9)*H9,(F9-G9)*H9)</f>
        <v/>
      </c>
      <c r="J9" s="6" t="n"/>
      <c r="K9" s="6">
        <f>I9-J9</f>
        <v/>
      </c>
      <c r="L9" s="7">
        <f>IFERROR(K9/ABS(AVERAGEIF(K2:K101,"&lt;"&amp;0)),"")</f>
        <v/>
      </c>
      <c r="M9" s="8" t="n"/>
      <c r="N9" s="4" t="n"/>
    </row>
    <row r="10">
      <c r="A10" s="2" t="n"/>
      <c r="B10" s="3" t="n"/>
      <c r="C10" s="4" t="n"/>
      <c r="D10" s="4" t="n"/>
      <c r="E10" s="4" t="n"/>
      <c r="F10" s="5" t="n"/>
      <c r="G10" s="5" t="n"/>
      <c r="H10" s="4" t="n"/>
      <c r="I10" s="6">
        <f>IF(D10="Long",(G10-F10)*H10,(F10-G10)*H10)</f>
        <v/>
      </c>
      <c r="J10" s="6" t="n"/>
      <c r="K10" s="6">
        <f>I10-J10</f>
        <v/>
      </c>
      <c r="L10" s="7">
        <f>IFERROR(K10/ABS(AVERAGEIF(K2:K101,"&lt;"&amp;0)),"")</f>
        <v/>
      </c>
      <c r="M10" s="8" t="n"/>
      <c r="N10" s="4" t="n"/>
    </row>
    <row r="11">
      <c r="A11" s="2" t="n"/>
      <c r="B11" s="3" t="n"/>
      <c r="C11" s="4" t="n"/>
      <c r="D11" s="4" t="n"/>
      <c r="E11" s="4" t="n"/>
      <c r="F11" s="5" t="n"/>
      <c r="G11" s="5" t="n"/>
      <c r="H11" s="4" t="n"/>
      <c r="I11" s="6">
        <f>IF(D11="Long",(G11-F11)*H11,(F11-G11)*H11)</f>
        <v/>
      </c>
      <c r="J11" s="6" t="n"/>
      <c r="K11" s="6">
        <f>I11-J11</f>
        <v/>
      </c>
      <c r="L11" s="7">
        <f>IFERROR(K11/ABS(AVERAGEIF(K2:K101,"&lt;"&amp;0)),"")</f>
        <v/>
      </c>
      <c r="M11" s="8" t="n"/>
      <c r="N11" s="4" t="n"/>
    </row>
    <row r="12">
      <c r="A12" s="2" t="n"/>
      <c r="B12" s="3" t="n"/>
      <c r="C12" s="4" t="n"/>
      <c r="D12" s="4" t="n"/>
      <c r="E12" s="4" t="n"/>
      <c r="F12" s="5" t="n"/>
      <c r="G12" s="5" t="n"/>
      <c r="H12" s="4" t="n"/>
      <c r="I12" s="6">
        <f>IF(D12="Long",(G12-F12)*H12,(F12-G12)*H12)</f>
        <v/>
      </c>
      <c r="J12" s="6" t="n"/>
      <c r="K12" s="6">
        <f>I12-J12</f>
        <v/>
      </c>
      <c r="L12" s="7">
        <f>IFERROR(K12/ABS(AVERAGEIF(K2:K101,"&lt;"&amp;0)),"")</f>
        <v/>
      </c>
      <c r="M12" s="8" t="n"/>
      <c r="N12" s="4" t="n"/>
    </row>
    <row r="13">
      <c r="A13" s="2" t="n"/>
      <c r="B13" s="3" t="n"/>
      <c r="C13" s="4" t="n"/>
      <c r="D13" s="4" t="n"/>
      <c r="E13" s="4" t="n"/>
      <c r="F13" s="5" t="n"/>
      <c r="G13" s="5" t="n"/>
      <c r="H13" s="4" t="n"/>
      <c r="I13" s="6">
        <f>IF(D13="Long",(G13-F13)*H13,(F13-G13)*H13)</f>
        <v/>
      </c>
      <c r="J13" s="6" t="n"/>
      <c r="K13" s="6">
        <f>I13-J13</f>
        <v/>
      </c>
      <c r="L13" s="7">
        <f>IFERROR(K13/ABS(AVERAGEIF(K2:K101,"&lt;"&amp;0)),"")</f>
        <v/>
      </c>
      <c r="M13" s="8" t="n"/>
      <c r="N13" s="4" t="n"/>
    </row>
    <row r="14">
      <c r="A14" s="2" t="n"/>
      <c r="B14" s="3" t="n"/>
      <c r="C14" s="4" t="n"/>
      <c r="D14" s="4" t="n"/>
      <c r="E14" s="4" t="n"/>
      <c r="F14" s="5" t="n"/>
      <c r="G14" s="5" t="n"/>
      <c r="H14" s="4" t="n"/>
      <c r="I14" s="6">
        <f>IF(D14="Long",(G14-F14)*H14,(F14-G14)*H14)</f>
        <v/>
      </c>
      <c r="J14" s="6" t="n"/>
      <c r="K14" s="6">
        <f>I14-J14</f>
        <v/>
      </c>
      <c r="L14" s="7">
        <f>IFERROR(K14/ABS(AVERAGEIF(K2:K101,"&lt;"&amp;0)),"")</f>
        <v/>
      </c>
      <c r="M14" s="8" t="n"/>
      <c r="N14" s="4" t="n"/>
    </row>
    <row r="15">
      <c r="A15" s="2" t="n"/>
      <c r="B15" s="3" t="n"/>
      <c r="C15" s="4" t="n"/>
      <c r="D15" s="4" t="n"/>
      <c r="E15" s="4" t="n"/>
      <c r="F15" s="5" t="n"/>
      <c r="G15" s="5" t="n"/>
      <c r="H15" s="4" t="n"/>
      <c r="I15" s="6">
        <f>IF(D15="Long",(G15-F15)*H15,(F15-G15)*H15)</f>
        <v/>
      </c>
      <c r="J15" s="6" t="n"/>
      <c r="K15" s="6">
        <f>I15-J15</f>
        <v/>
      </c>
      <c r="L15" s="7">
        <f>IFERROR(K15/ABS(AVERAGEIF(K2:K101,"&lt;"&amp;0)),"")</f>
        <v/>
      </c>
      <c r="M15" s="8" t="n"/>
      <c r="N15" s="4" t="n"/>
    </row>
    <row r="16">
      <c r="A16" s="2" t="n"/>
      <c r="B16" s="3" t="n"/>
      <c r="C16" s="4" t="n"/>
      <c r="D16" s="4" t="n"/>
      <c r="E16" s="4" t="n"/>
      <c r="F16" s="5" t="n"/>
      <c r="G16" s="5" t="n"/>
      <c r="H16" s="4" t="n"/>
      <c r="I16" s="6">
        <f>IF(D16="Long",(G16-F16)*H16,(F16-G16)*H16)</f>
        <v/>
      </c>
      <c r="J16" s="6" t="n"/>
      <c r="K16" s="6">
        <f>I16-J16</f>
        <v/>
      </c>
      <c r="L16" s="7">
        <f>IFERROR(K16/ABS(AVERAGEIF(K2:K101,"&lt;"&amp;0)),"")</f>
        <v/>
      </c>
      <c r="M16" s="8" t="n"/>
      <c r="N16" s="4" t="n"/>
    </row>
    <row r="17">
      <c r="A17" s="2" t="n"/>
      <c r="B17" s="3" t="n"/>
      <c r="C17" s="4" t="n"/>
      <c r="D17" s="4" t="n"/>
      <c r="E17" s="4" t="n"/>
      <c r="F17" s="5" t="n"/>
      <c r="G17" s="5" t="n"/>
      <c r="H17" s="4" t="n"/>
      <c r="I17" s="6">
        <f>IF(D17="Long",(G17-F17)*H17,(F17-G17)*H17)</f>
        <v/>
      </c>
      <c r="J17" s="6" t="n"/>
      <c r="K17" s="6">
        <f>I17-J17</f>
        <v/>
      </c>
      <c r="L17" s="7">
        <f>IFERROR(K17/ABS(AVERAGEIF(K2:K101,"&lt;"&amp;0)),"")</f>
        <v/>
      </c>
      <c r="M17" s="8" t="n"/>
      <c r="N17" s="4" t="n"/>
    </row>
    <row r="18">
      <c r="A18" s="2" t="n"/>
      <c r="B18" s="3" t="n"/>
      <c r="C18" s="4" t="n"/>
      <c r="D18" s="4" t="n"/>
      <c r="E18" s="4" t="n"/>
      <c r="F18" s="5" t="n"/>
      <c r="G18" s="5" t="n"/>
      <c r="H18" s="4" t="n"/>
      <c r="I18" s="6">
        <f>IF(D18="Long",(G18-F18)*H18,(F18-G18)*H18)</f>
        <v/>
      </c>
      <c r="J18" s="6" t="n"/>
      <c r="K18" s="6">
        <f>I18-J18</f>
        <v/>
      </c>
      <c r="L18" s="7">
        <f>IFERROR(K18/ABS(AVERAGEIF(K2:K101,"&lt;"&amp;0)),"")</f>
        <v/>
      </c>
      <c r="M18" s="8" t="n"/>
      <c r="N18" s="4" t="n"/>
    </row>
    <row r="19">
      <c r="A19" s="2" t="n"/>
      <c r="B19" s="3" t="n"/>
      <c r="C19" s="4" t="n"/>
      <c r="D19" s="4" t="n"/>
      <c r="E19" s="4" t="n"/>
      <c r="F19" s="5" t="n"/>
      <c r="G19" s="5" t="n"/>
      <c r="H19" s="4" t="n"/>
      <c r="I19" s="6">
        <f>IF(D19="Long",(G19-F19)*H19,(F19-G19)*H19)</f>
        <v/>
      </c>
      <c r="J19" s="6" t="n"/>
      <c r="K19" s="6">
        <f>I19-J19</f>
        <v/>
      </c>
      <c r="L19" s="7">
        <f>IFERROR(K19/ABS(AVERAGEIF(K2:K101,"&lt;"&amp;0)),"")</f>
        <v/>
      </c>
      <c r="M19" s="8" t="n"/>
      <c r="N19" s="4" t="n"/>
    </row>
    <row r="20">
      <c r="A20" s="2" t="n"/>
      <c r="B20" s="3" t="n"/>
      <c r="C20" s="4" t="n"/>
      <c r="D20" s="4" t="n"/>
      <c r="E20" s="4" t="n"/>
      <c r="F20" s="5" t="n"/>
      <c r="G20" s="5" t="n"/>
      <c r="H20" s="4" t="n"/>
      <c r="I20" s="6">
        <f>IF(D20="Long",(G20-F20)*H20,(F20-G20)*H20)</f>
        <v/>
      </c>
      <c r="J20" s="6" t="n"/>
      <c r="K20" s="6">
        <f>I20-J20</f>
        <v/>
      </c>
      <c r="L20" s="7">
        <f>IFERROR(K20/ABS(AVERAGEIF(K2:K101,"&lt;"&amp;0)),"")</f>
        <v/>
      </c>
      <c r="M20" s="8" t="n"/>
      <c r="N20" s="4" t="n"/>
    </row>
    <row r="21">
      <c r="A21" s="2" t="n"/>
      <c r="B21" s="3" t="n"/>
      <c r="C21" s="4" t="n"/>
      <c r="D21" s="4" t="n"/>
      <c r="E21" s="4" t="n"/>
      <c r="F21" s="5" t="n"/>
      <c r="G21" s="5" t="n"/>
      <c r="H21" s="4" t="n"/>
      <c r="I21" s="6">
        <f>IF(D21="Long",(G21-F21)*H21,(F21-G21)*H21)</f>
        <v/>
      </c>
      <c r="J21" s="6" t="n"/>
      <c r="K21" s="6">
        <f>I21-J21</f>
        <v/>
      </c>
      <c r="L21" s="7">
        <f>IFERROR(K21/ABS(AVERAGEIF(K2:K101,"&lt;"&amp;0)),"")</f>
        <v/>
      </c>
      <c r="M21" s="8" t="n"/>
      <c r="N21" s="4" t="n"/>
    </row>
    <row r="22">
      <c r="A22" s="2" t="n"/>
      <c r="B22" s="3" t="n"/>
      <c r="C22" s="4" t="n"/>
      <c r="D22" s="4" t="n"/>
      <c r="E22" s="4" t="n"/>
      <c r="F22" s="5" t="n"/>
      <c r="G22" s="5" t="n"/>
      <c r="H22" s="4" t="n"/>
      <c r="I22" s="6">
        <f>IF(D22="Long",(G22-F22)*H22,(F22-G22)*H22)</f>
        <v/>
      </c>
      <c r="J22" s="6" t="n"/>
      <c r="K22" s="6">
        <f>I22-J22</f>
        <v/>
      </c>
      <c r="L22" s="7">
        <f>IFERROR(K22/ABS(AVERAGEIF(K2:K101,"&lt;"&amp;0)),"")</f>
        <v/>
      </c>
      <c r="M22" s="8" t="n"/>
      <c r="N22" s="4" t="n"/>
    </row>
    <row r="23">
      <c r="A23" s="2" t="n"/>
      <c r="B23" s="3" t="n"/>
      <c r="C23" s="4" t="n"/>
      <c r="D23" s="4" t="n"/>
      <c r="E23" s="4" t="n"/>
      <c r="F23" s="5" t="n"/>
      <c r="G23" s="5" t="n"/>
      <c r="H23" s="4" t="n"/>
      <c r="I23" s="6">
        <f>IF(D23="Long",(G23-F23)*H23,(F23-G23)*H23)</f>
        <v/>
      </c>
      <c r="J23" s="6" t="n"/>
      <c r="K23" s="6">
        <f>I23-J23</f>
        <v/>
      </c>
      <c r="L23" s="7">
        <f>IFERROR(K23/ABS(AVERAGEIF(K2:K101,"&lt;"&amp;0)),"")</f>
        <v/>
      </c>
      <c r="M23" s="8" t="n"/>
      <c r="N23" s="4" t="n"/>
    </row>
    <row r="24">
      <c r="A24" s="2" t="n"/>
      <c r="B24" s="3" t="n"/>
      <c r="C24" s="4" t="n"/>
      <c r="D24" s="4" t="n"/>
      <c r="E24" s="4" t="n"/>
      <c r="F24" s="5" t="n"/>
      <c r="G24" s="5" t="n"/>
      <c r="H24" s="4" t="n"/>
      <c r="I24" s="6">
        <f>IF(D24="Long",(G24-F24)*H24,(F24-G24)*H24)</f>
        <v/>
      </c>
      <c r="J24" s="6" t="n"/>
      <c r="K24" s="6">
        <f>I24-J24</f>
        <v/>
      </c>
      <c r="L24" s="7">
        <f>IFERROR(K24/ABS(AVERAGEIF(K2:K101,"&lt;"&amp;0)),"")</f>
        <v/>
      </c>
      <c r="M24" s="8" t="n"/>
      <c r="N24" s="4" t="n"/>
    </row>
    <row r="25">
      <c r="A25" s="2" t="n"/>
      <c r="B25" s="3" t="n"/>
      <c r="C25" s="4" t="n"/>
      <c r="D25" s="4" t="n"/>
      <c r="E25" s="4" t="n"/>
      <c r="F25" s="5" t="n"/>
      <c r="G25" s="5" t="n"/>
      <c r="H25" s="4" t="n"/>
      <c r="I25" s="6">
        <f>IF(D25="Long",(G25-F25)*H25,(F25-G25)*H25)</f>
        <v/>
      </c>
      <c r="J25" s="6" t="n"/>
      <c r="K25" s="6">
        <f>I25-J25</f>
        <v/>
      </c>
      <c r="L25" s="7">
        <f>IFERROR(K25/ABS(AVERAGEIF(K2:K101,"&lt;"&amp;0)),"")</f>
        <v/>
      </c>
      <c r="M25" s="8" t="n"/>
      <c r="N25" s="4" t="n"/>
    </row>
    <row r="26">
      <c r="A26" s="2" t="n"/>
      <c r="B26" s="3" t="n"/>
      <c r="C26" s="4" t="n"/>
      <c r="D26" s="4" t="n"/>
      <c r="E26" s="4" t="n"/>
      <c r="F26" s="5" t="n"/>
      <c r="G26" s="5" t="n"/>
      <c r="H26" s="4" t="n"/>
      <c r="I26" s="6">
        <f>IF(D26="Long",(G26-F26)*H26,(F26-G26)*H26)</f>
        <v/>
      </c>
      <c r="J26" s="6" t="n"/>
      <c r="K26" s="6">
        <f>I26-J26</f>
        <v/>
      </c>
      <c r="L26" s="7">
        <f>IFERROR(K26/ABS(AVERAGEIF(K2:K101,"&lt;"&amp;0)),"")</f>
        <v/>
      </c>
      <c r="M26" s="8" t="n"/>
      <c r="N26" s="4" t="n"/>
    </row>
    <row r="27">
      <c r="A27" s="2" t="n"/>
      <c r="B27" s="3" t="n"/>
      <c r="C27" s="4" t="n"/>
      <c r="D27" s="4" t="n"/>
      <c r="E27" s="4" t="n"/>
      <c r="F27" s="5" t="n"/>
      <c r="G27" s="5" t="n"/>
      <c r="H27" s="4" t="n"/>
      <c r="I27" s="6">
        <f>IF(D27="Long",(G27-F27)*H27,(F27-G27)*H27)</f>
        <v/>
      </c>
      <c r="J27" s="6" t="n"/>
      <c r="K27" s="6">
        <f>I27-J27</f>
        <v/>
      </c>
      <c r="L27" s="7">
        <f>IFERROR(K27/ABS(AVERAGEIF(K2:K101,"&lt;"&amp;0)),"")</f>
        <v/>
      </c>
      <c r="M27" s="8" t="n"/>
      <c r="N27" s="4" t="n"/>
    </row>
    <row r="28">
      <c r="A28" s="2" t="n"/>
      <c r="B28" s="3" t="n"/>
      <c r="C28" s="4" t="n"/>
      <c r="D28" s="4" t="n"/>
      <c r="E28" s="4" t="n"/>
      <c r="F28" s="5" t="n"/>
      <c r="G28" s="5" t="n"/>
      <c r="H28" s="4" t="n"/>
      <c r="I28" s="6">
        <f>IF(D28="Long",(G28-F28)*H28,(F28-G28)*H28)</f>
        <v/>
      </c>
      <c r="J28" s="6" t="n"/>
      <c r="K28" s="6">
        <f>I28-J28</f>
        <v/>
      </c>
      <c r="L28" s="7">
        <f>IFERROR(K28/ABS(AVERAGEIF(K2:K101,"&lt;"&amp;0)),"")</f>
        <v/>
      </c>
      <c r="M28" s="8" t="n"/>
      <c r="N28" s="4" t="n"/>
    </row>
    <row r="29">
      <c r="A29" s="2" t="n"/>
      <c r="B29" s="3" t="n"/>
      <c r="C29" s="4" t="n"/>
      <c r="D29" s="4" t="n"/>
      <c r="E29" s="4" t="n"/>
      <c r="F29" s="5" t="n"/>
      <c r="G29" s="5" t="n"/>
      <c r="H29" s="4" t="n"/>
      <c r="I29" s="6">
        <f>IF(D29="Long",(G29-F29)*H29,(F29-G29)*H29)</f>
        <v/>
      </c>
      <c r="J29" s="6" t="n"/>
      <c r="K29" s="6">
        <f>I29-J29</f>
        <v/>
      </c>
      <c r="L29" s="7">
        <f>IFERROR(K29/ABS(AVERAGEIF(K2:K101,"&lt;"&amp;0)),"")</f>
        <v/>
      </c>
      <c r="M29" s="8" t="n"/>
      <c r="N29" s="4" t="n"/>
    </row>
    <row r="30">
      <c r="A30" s="2" t="n"/>
      <c r="B30" s="3" t="n"/>
      <c r="C30" s="4" t="n"/>
      <c r="D30" s="4" t="n"/>
      <c r="E30" s="4" t="n"/>
      <c r="F30" s="5" t="n"/>
      <c r="G30" s="5" t="n"/>
      <c r="H30" s="4" t="n"/>
      <c r="I30" s="6">
        <f>IF(D30="Long",(G30-F30)*H30,(F30-G30)*H30)</f>
        <v/>
      </c>
      <c r="J30" s="6" t="n"/>
      <c r="K30" s="6">
        <f>I30-J30</f>
        <v/>
      </c>
      <c r="L30" s="7">
        <f>IFERROR(K30/ABS(AVERAGEIF(K2:K101,"&lt;"&amp;0)),"")</f>
        <v/>
      </c>
      <c r="M30" s="8" t="n"/>
      <c r="N30" s="4" t="n"/>
    </row>
    <row r="31">
      <c r="A31" s="2" t="n"/>
      <c r="B31" s="3" t="n"/>
      <c r="C31" s="4" t="n"/>
      <c r="D31" s="4" t="n"/>
      <c r="E31" s="4" t="n"/>
      <c r="F31" s="5" t="n"/>
      <c r="G31" s="5" t="n"/>
      <c r="H31" s="4" t="n"/>
      <c r="I31" s="6">
        <f>IF(D31="Long",(G31-F31)*H31,(F31-G31)*H31)</f>
        <v/>
      </c>
      <c r="J31" s="6" t="n"/>
      <c r="K31" s="6">
        <f>I31-J31</f>
        <v/>
      </c>
      <c r="L31" s="7">
        <f>IFERROR(K31/ABS(AVERAGEIF(K2:K101,"&lt;"&amp;0)),"")</f>
        <v/>
      </c>
      <c r="M31" s="8" t="n"/>
      <c r="N31" s="4" t="n"/>
    </row>
    <row r="32">
      <c r="A32" s="2" t="n"/>
      <c r="B32" s="3" t="n"/>
      <c r="C32" s="4" t="n"/>
      <c r="D32" s="4" t="n"/>
      <c r="E32" s="4" t="n"/>
      <c r="F32" s="5" t="n"/>
      <c r="G32" s="5" t="n"/>
      <c r="H32" s="4" t="n"/>
      <c r="I32" s="6">
        <f>IF(D32="Long",(G32-F32)*H32,(F32-G32)*H32)</f>
        <v/>
      </c>
      <c r="J32" s="6" t="n"/>
      <c r="K32" s="6">
        <f>I32-J32</f>
        <v/>
      </c>
      <c r="L32" s="7">
        <f>IFERROR(K32/ABS(AVERAGEIF(K2:K101,"&lt;"&amp;0)),"")</f>
        <v/>
      </c>
      <c r="M32" s="8" t="n"/>
      <c r="N32" s="4" t="n"/>
    </row>
    <row r="33">
      <c r="A33" s="2" t="n"/>
      <c r="B33" s="3" t="n"/>
      <c r="C33" s="4" t="n"/>
      <c r="D33" s="4" t="n"/>
      <c r="E33" s="4" t="n"/>
      <c r="F33" s="5" t="n"/>
      <c r="G33" s="5" t="n"/>
      <c r="H33" s="4" t="n"/>
      <c r="I33" s="6">
        <f>IF(D33="Long",(G33-F33)*H33,(F33-G33)*H33)</f>
        <v/>
      </c>
      <c r="J33" s="6" t="n"/>
      <c r="K33" s="6">
        <f>I33-J33</f>
        <v/>
      </c>
      <c r="L33" s="7">
        <f>IFERROR(K33/ABS(AVERAGEIF(K2:K101,"&lt;"&amp;0)),"")</f>
        <v/>
      </c>
      <c r="M33" s="8" t="n"/>
      <c r="N33" s="4" t="n"/>
    </row>
    <row r="34">
      <c r="A34" s="2" t="n"/>
      <c r="B34" s="3" t="n"/>
      <c r="C34" s="4" t="n"/>
      <c r="D34" s="4" t="n"/>
      <c r="E34" s="4" t="n"/>
      <c r="F34" s="5" t="n"/>
      <c r="G34" s="5" t="n"/>
      <c r="H34" s="4" t="n"/>
      <c r="I34" s="6">
        <f>IF(D34="Long",(G34-F34)*H34,(F34-G34)*H34)</f>
        <v/>
      </c>
      <c r="J34" s="6" t="n"/>
      <c r="K34" s="6">
        <f>I34-J34</f>
        <v/>
      </c>
      <c r="L34" s="7">
        <f>IFERROR(K34/ABS(AVERAGEIF(K2:K101,"&lt;"&amp;0)),"")</f>
        <v/>
      </c>
      <c r="M34" s="8" t="n"/>
      <c r="N34" s="4" t="n"/>
    </row>
    <row r="35">
      <c r="A35" s="2" t="n"/>
      <c r="B35" s="3" t="n"/>
      <c r="C35" s="4" t="n"/>
      <c r="D35" s="4" t="n"/>
      <c r="E35" s="4" t="n"/>
      <c r="F35" s="5" t="n"/>
      <c r="G35" s="5" t="n"/>
      <c r="H35" s="4" t="n"/>
      <c r="I35" s="6">
        <f>IF(D35="Long",(G35-F35)*H35,(F35-G35)*H35)</f>
        <v/>
      </c>
      <c r="J35" s="6" t="n"/>
      <c r="K35" s="6">
        <f>I35-J35</f>
        <v/>
      </c>
      <c r="L35" s="7">
        <f>IFERROR(K35/ABS(AVERAGEIF(K2:K101,"&lt;"&amp;0)),"")</f>
        <v/>
      </c>
      <c r="M35" s="8" t="n"/>
      <c r="N35" s="4" t="n"/>
    </row>
    <row r="36">
      <c r="A36" s="2" t="n"/>
      <c r="B36" s="3" t="n"/>
      <c r="C36" s="4" t="n"/>
      <c r="D36" s="4" t="n"/>
      <c r="E36" s="4" t="n"/>
      <c r="F36" s="5" t="n"/>
      <c r="G36" s="5" t="n"/>
      <c r="H36" s="4" t="n"/>
      <c r="I36" s="6">
        <f>IF(D36="Long",(G36-F36)*H36,(F36-G36)*H36)</f>
        <v/>
      </c>
      <c r="J36" s="6" t="n"/>
      <c r="K36" s="6">
        <f>I36-J36</f>
        <v/>
      </c>
      <c r="L36" s="7">
        <f>IFERROR(K36/ABS(AVERAGEIF(K2:K101,"&lt;"&amp;0)),"")</f>
        <v/>
      </c>
      <c r="M36" s="8" t="n"/>
      <c r="N36" s="4" t="n"/>
    </row>
    <row r="37">
      <c r="A37" s="2" t="n"/>
      <c r="B37" s="3" t="n"/>
      <c r="C37" s="4" t="n"/>
      <c r="D37" s="4" t="n"/>
      <c r="E37" s="4" t="n"/>
      <c r="F37" s="5" t="n"/>
      <c r="G37" s="5" t="n"/>
      <c r="H37" s="4" t="n"/>
      <c r="I37" s="6">
        <f>IF(D37="Long",(G37-F37)*H37,(F37-G37)*H37)</f>
        <v/>
      </c>
      <c r="J37" s="6" t="n"/>
      <c r="K37" s="6">
        <f>I37-J37</f>
        <v/>
      </c>
      <c r="L37" s="7">
        <f>IFERROR(K37/ABS(AVERAGEIF(K2:K101,"&lt;"&amp;0)),"")</f>
        <v/>
      </c>
      <c r="M37" s="8" t="n"/>
      <c r="N37" s="4" t="n"/>
    </row>
    <row r="38">
      <c r="A38" s="2" t="n"/>
      <c r="B38" s="3" t="n"/>
      <c r="C38" s="4" t="n"/>
      <c r="D38" s="4" t="n"/>
      <c r="E38" s="4" t="n"/>
      <c r="F38" s="5" t="n"/>
      <c r="G38" s="5" t="n"/>
      <c r="H38" s="4" t="n"/>
      <c r="I38" s="6">
        <f>IF(D38="Long",(G38-F38)*H38,(F38-G38)*H38)</f>
        <v/>
      </c>
      <c r="J38" s="6" t="n"/>
      <c r="K38" s="6">
        <f>I38-J38</f>
        <v/>
      </c>
      <c r="L38" s="7">
        <f>IFERROR(K38/ABS(AVERAGEIF(K2:K101,"&lt;"&amp;0)),"")</f>
        <v/>
      </c>
      <c r="M38" s="8" t="n"/>
      <c r="N38" s="4" t="n"/>
    </row>
    <row r="39">
      <c r="A39" s="2" t="n"/>
      <c r="B39" s="3" t="n"/>
      <c r="C39" s="4" t="n"/>
      <c r="D39" s="4" t="n"/>
      <c r="E39" s="4" t="n"/>
      <c r="F39" s="5" t="n"/>
      <c r="G39" s="5" t="n"/>
      <c r="H39" s="4" t="n"/>
      <c r="I39" s="6">
        <f>IF(D39="Long",(G39-F39)*H39,(F39-G39)*H39)</f>
        <v/>
      </c>
      <c r="J39" s="6" t="n"/>
      <c r="K39" s="6">
        <f>I39-J39</f>
        <v/>
      </c>
      <c r="L39" s="7">
        <f>IFERROR(K39/ABS(AVERAGEIF(K2:K101,"&lt;"&amp;0)),"")</f>
        <v/>
      </c>
      <c r="M39" s="8" t="n"/>
      <c r="N39" s="4" t="n"/>
    </row>
    <row r="40">
      <c r="A40" s="2" t="n"/>
      <c r="B40" s="3" t="n"/>
      <c r="C40" s="4" t="n"/>
      <c r="D40" s="4" t="n"/>
      <c r="E40" s="4" t="n"/>
      <c r="F40" s="5" t="n"/>
      <c r="G40" s="5" t="n"/>
      <c r="H40" s="4" t="n"/>
      <c r="I40" s="6">
        <f>IF(D40="Long",(G40-F40)*H40,(F40-G40)*H40)</f>
        <v/>
      </c>
      <c r="J40" s="6" t="n"/>
      <c r="K40" s="6">
        <f>I40-J40</f>
        <v/>
      </c>
      <c r="L40" s="7">
        <f>IFERROR(K40/ABS(AVERAGEIF(K2:K101,"&lt;"&amp;0)),"")</f>
        <v/>
      </c>
      <c r="M40" s="8" t="n"/>
      <c r="N40" s="4" t="n"/>
    </row>
    <row r="41">
      <c r="A41" s="2" t="n"/>
      <c r="B41" s="3" t="n"/>
      <c r="C41" s="4" t="n"/>
      <c r="D41" s="4" t="n"/>
      <c r="E41" s="4" t="n"/>
      <c r="F41" s="5" t="n"/>
      <c r="G41" s="5" t="n"/>
      <c r="H41" s="4" t="n"/>
      <c r="I41" s="6">
        <f>IF(D41="Long",(G41-F41)*H41,(F41-G41)*H41)</f>
        <v/>
      </c>
      <c r="J41" s="6" t="n"/>
      <c r="K41" s="6">
        <f>I41-J41</f>
        <v/>
      </c>
      <c r="L41" s="7">
        <f>IFERROR(K41/ABS(AVERAGEIF(K2:K101,"&lt;"&amp;0)),"")</f>
        <v/>
      </c>
      <c r="M41" s="8" t="n"/>
      <c r="N41" s="4" t="n"/>
    </row>
    <row r="42">
      <c r="A42" s="2" t="n"/>
      <c r="B42" s="3" t="n"/>
      <c r="C42" s="4" t="n"/>
      <c r="D42" s="4" t="n"/>
      <c r="E42" s="4" t="n"/>
      <c r="F42" s="5" t="n"/>
      <c r="G42" s="5" t="n"/>
      <c r="H42" s="4" t="n"/>
      <c r="I42" s="6">
        <f>IF(D42="Long",(G42-F42)*H42,(F42-G42)*H42)</f>
        <v/>
      </c>
      <c r="J42" s="6" t="n"/>
      <c r="K42" s="6">
        <f>I42-J42</f>
        <v/>
      </c>
      <c r="L42" s="7">
        <f>IFERROR(K42/ABS(AVERAGEIF(K2:K101,"&lt;"&amp;0)),"")</f>
        <v/>
      </c>
      <c r="M42" s="8" t="n"/>
      <c r="N42" s="4" t="n"/>
    </row>
    <row r="43">
      <c r="A43" s="2" t="n"/>
      <c r="B43" s="3" t="n"/>
      <c r="C43" s="4" t="n"/>
      <c r="D43" s="4" t="n"/>
      <c r="E43" s="4" t="n"/>
      <c r="F43" s="5" t="n"/>
      <c r="G43" s="5" t="n"/>
      <c r="H43" s="4" t="n"/>
      <c r="I43" s="6">
        <f>IF(D43="Long",(G43-F43)*H43,(F43-G43)*H43)</f>
        <v/>
      </c>
      <c r="J43" s="6" t="n"/>
      <c r="K43" s="6">
        <f>I43-J43</f>
        <v/>
      </c>
      <c r="L43" s="7">
        <f>IFERROR(K43/ABS(AVERAGEIF(K2:K101,"&lt;"&amp;0)),"")</f>
        <v/>
      </c>
      <c r="M43" s="8" t="n"/>
      <c r="N43" s="4" t="n"/>
    </row>
    <row r="44">
      <c r="A44" s="2" t="n"/>
      <c r="B44" s="3" t="n"/>
      <c r="C44" s="4" t="n"/>
      <c r="D44" s="4" t="n"/>
      <c r="E44" s="4" t="n"/>
      <c r="F44" s="5" t="n"/>
      <c r="G44" s="5" t="n"/>
      <c r="H44" s="4" t="n"/>
      <c r="I44" s="6">
        <f>IF(D44="Long",(G44-F44)*H44,(F44-G44)*H44)</f>
        <v/>
      </c>
      <c r="J44" s="6" t="n"/>
      <c r="K44" s="6">
        <f>I44-J44</f>
        <v/>
      </c>
      <c r="L44" s="7">
        <f>IFERROR(K44/ABS(AVERAGEIF(K2:K101,"&lt;"&amp;0)),"")</f>
        <v/>
      </c>
      <c r="M44" s="8" t="n"/>
      <c r="N44" s="4" t="n"/>
    </row>
    <row r="45">
      <c r="A45" s="2" t="n"/>
      <c r="B45" s="3" t="n"/>
      <c r="C45" s="4" t="n"/>
      <c r="D45" s="4" t="n"/>
      <c r="E45" s="4" t="n"/>
      <c r="F45" s="5" t="n"/>
      <c r="G45" s="5" t="n"/>
      <c r="H45" s="4" t="n"/>
      <c r="I45" s="6">
        <f>IF(D45="Long",(G45-F45)*H45,(F45-G45)*H45)</f>
        <v/>
      </c>
      <c r="J45" s="6" t="n"/>
      <c r="K45" s="6">
        <f>I45-J45</f>
        <v/>
      </c>
      <c r="L45" s="7">
        <f>IFERROR(K45/ABS(AVERAGEIF(K2:K101,"&lt;"&amp;0)),"")</f>
        <v/>
      </c>
      <c r="M45" s="8" t="n"/>
      <c r="N45" s="4" t="n"/>
    </row>
    <row r="46">
      <c r="A46" s="2" t="n"/>
      <c r="B46" s="3" t="n"/>
      <c r="C46" s="4" t="n"/>
      <c r="D46" s="4" t="n"/>
      <c r="E46" s="4" t="n"/>
      <c r="F46" s="5" t="n"/>
      <c r="G46" s="5" t="n"/>
      <c r="H46" s="4" t="n"/>
      <c r="I46" s="6">
        <f>IF(D46="Long",(G46-F46)*H46,(F46-G46)*H46)</f>
        <v/>
      </c>
      <c r="J46" s="6" t="n"/>
      <c r="K46" s="6">
        <f>I46-J46</f>
        <v/>
      </c>
      <c r="L46" s="7">
        <f>IFERROR(K46/ABS(AVERAGEIF(K2:K101,"&lt;"&amp;0)),"")</f>
        <v/>
      </c>
      <c r="M46" s="8" t="n"/>
      <c r="N46" s="4" t="n"/>
    </row>
    <row r="47">
      <c r="A47" s="2" t="n"/>
      <c r="B47" s="3" t="n"/>
      <c r="C47" s="4" t="n"/>
      <c r="D47" s="4" t="n"/>
      <c r="E47" s="4" t="n"/>
      <c r="F47" s="5" t="n"/>
      <c r="G47" s="5" t="n"/>
      <c r="H47" s="4" t="n"/>
      <c r="I47" s="6">
        <f>IF(D47="Long",(G47-F47)*H47,(F47-G47)*H47)</f>
        <v/>
      </c>
      <c r="J47" s="6" t="n"/>
      <c r="K47" s="6">
        <f>I47-J47</f>
        <v/>
      </c>
      <c r="L47" s="7">
        <f>IFERROR(K47/ABS(AVERAGEIF(K2:K101,"&lt;"&amp;0)),"")</f>
        <v/>
      </c>
      <c r="M47" s="8" t="n"/>
      <c r="N47" s="4" t="n"/>
    </row>
    <row r="48">
      <c r="A48" s="2" t="n"/>
      <c r="B48" s="3" t="n"/>
      <c r="C48" s="4" t="n"/>
      <c r="D48" s="4" t="n"/>
      <c r="E48" s="4" t="n"/>
      <c r="F48" s="5" t="n"/>
      <c r="G48" s="5" t="n"/>
      <c r="H48" s="4" t="n"/>
      <c r="I48" s="6">
        <f>IF(D48="Long",(G48-F48)*H48,(F48-G48)*H48)</f>
        <v/>
      </c>
      <c r="J48" s="6" t="n"/>
      <c r="K48" s="6">
        <f>I48-J48</f>
        <v/>
      </c>
      <c r="L48" s="7">
        <f>IFERROR(K48/ABS(AVERAGEIF(K2:K101,"&lt;"&amp;0)),"")</f>
        <v/>
      </c>
      <c r="M48" s="8" t="n"/>
      <c r="N48" s="4" t="n"/>
    </row>
    <row r="49">
      <c r="A49" s="2" t="n"/>
      <c r="B49" s="3" t="n"/>
      <c r="C49" s="4" t="n"/>
      <c r="D49" s="4" t="n"/>
      <c r="E49" s="4" t="n"/>
      <c r="F49" s="5" t="n"/>
      <c r="G49" s="5" t="n"/>
      <c r="H49" s="4" t="n"/>
      <c r="I49" s="6">
        <f>IF(D49="Long",(G49-F49)*H49,(F49-G49)*H49)</f>
        <v/>
      </c>
      <c r="J49" s="6" t="n"/>
      <c r="K49" s="6">
        <f>I49-J49</f>
        <v/>
      </c>
      <c r="L49" s="7">
        <f>IFERROR(K49/ABS(AVERAGEIF(K2:K101,"&lt;"&amp;0)),"")</f>
        <v/>
      </c>
      <c r="M49" s="8" t="n"/>
      <c r="N49" s="4" t="n"/>
    </row>
    <row r="50">
      <c r="A50" s="2" t="n"/>
      <c r="B50" s="3" t="n"/>
      <c r="C50" s="4" t="n"/>
      <c r="D50" s="4" t="n"/>
      <c r="E50" s="4" t="n"/>
      <c r="F50" s="5" t="n"/>
      <c r="G50" s="5" t="n"/>
      <c r="H50" s="4" t="n"/>
      <c r="I50" s="6">
        <f>IF(D50="Long",(G50-F50)*H50,(F50-G50)*H50)</f>
        <v/>
      </c>
      <c r="J50" s="6" t="n"/>
      <c r="K50" s="6">
        <f>I50-J50</f>
        <v/>
      </c>
      <c r="L50" s="7">
        <f>IFERROR(K50/ABS(AVERAGEIF(K2:K101,"&lt;"&amp;0)),"")</f>
        <v/>
      </c>
      <c r="M50" s="8" t="n"/>
      <c r="N50" s="4" t="n"/>
    </row>
    <row r="51">
      <c r="A51" s="2" t="n"/>
      <c r="B51" s="3" t="n"/>
      <c r="C51" s="4" t="n"/>
      <c r="D51" s="4" t="n"/>
      <c r="E51" s="4" t="n"/>
      <c r="F51" s="5" t="n"/>
      <c r="G51" s="5" t="n"/>
      <c r="H51" s="4" t="n"/>
      <c r="I51" s="6">
        <f>IF(D51="Long",(G51-F51)*H51,(F51-G51)*H51)</f>
        <v/>
      </c>
      <c r="J51" s="6" t="n"/>
      <c r="K51" s="6">
        <f>I51-J51</f>
        <v/>
      </c>
      <c r="L51" s="7">
        <f>IFERROR(K51/ABS(AVERAGEIF(K2:K101,"&lt;"&amp;0)),"")</f>
        <v/>
      </c>
      <c r="M51" s="8" t="n"/>
      <c r="N51" s="4" t="n"/>
    </row>
    <row r="52">
      <c r="A52" s="2" t="n"/>
      <c r="B52" s="3" t="n"/>
      <c r="C52" s="4" t="n"/>
      <c r="D52" s="4" t="n"/>
      <c r="E52" s="4" t="n"/>
      <c r="F52" s="5" t="n"/>
      <c r="G52" s="5" t="n"/>
      <c r="H52" s="4" t="n"/>
      <c r="I52" s="6">
        <f>IF(D52="Long",(G52-F52)*H52,(F52-G52)*H52)</f>
        <v/>
      </c>
      <c r="J52" s="6" t="n"/>
      <c r="K52" s="6">
        <f>I52-J52</f>
        <v/>
      </c>
      <c r="L52" s="7">
        <f>IFERROR(K52/ABS(AVERAGEIF(K2:K101,"&lt;"&amp;0)),"")</f>
        <v/>
      </c>
      <c r="M52" s="8" t="n"/>
      <c r="N52" s="4" t="n"/>
    </row>
    <row r="53">
      <c r="A53" s="2" t="n"/>
      <c r="B53" s="3" t="n"/>
      <c r="C53" s="4" t="n"/>
      <c r="D53" s="4" t="n"/>
      <c r="E53" s="4" t="n"/>
      <c r="F53" s="5" t="n"/>
      <c r="G53" s="5" t="n"/>
      <c r="H53" s="4" t="n"/>
      <c r="I53" s="6">
        <f>IF(D53="Long",(G53-F53)*H53,(F53-G53)*H53)</f>
        <v/>
      </c>
      <c r="J53" s="6" t="n"/>
      <c r="K53" s="6">
        <f>I53-J53</f>
        <v/>
      </c>
      <c r="L53" s="7">
        <f>IFERROR(K53/ABS(AVERAGEIF(K2:K101,"&lt;"&amp;0)),"")</f>
        <v/>
      </c>
      <c r="M53" s="8" t="n"/>
      <c r="N53" s="4" t="n"/>
    </row>
    <row r="54">
      <c r="A54" s="2" t="n"/>
      <c r="B54" s="3" t="n"/>
      <c r="C54" s="4" t="n"/>
      <c r="D54" s="4" t="n"/>
      <c r="E54" s="4" t="n"/>
      <c r="F54" s="5" t="n"/>
      <c r="G54" s="5" t="n"/>
      <c r="H54" s="4" t="n"/>
      <c r="I54" s="6">
        <f>IF(D54="Long",(G54-F54)*H54,(F54-G54)*H54)</f>
        <v/>
      </c>
      <c r="J54" s="6" t="n"/>
      <c r="K54" s="6">
        <f>I54-J54</f>
        <v/>
      </c>
      <c r="L54" s="7">
        <f>IFERROR(K54/ABS(AVERAGEIF(K2:K101,"&lt;"&amp;0)),"")</f>
        <v/>
      </c>
      <c r="M54" s="8" t="n"/>
      <c r="N54" s="4" t="n"/>
    </row>
    <row r="55">
      <c r="A55" s="2" t="n"/>
      <c r="B55" s="3" t="n"/>
      <c r="C55" s="4" t="n"/>
      <c r="D55" s="4" t="n"/>
      <c r="E55" s="4" t="n"/>
      <c r="F55" s="5" t="n"/>
      <c r="G55" s="5" t="n"/>
      <c r="H55" s="4" t="n"/>
      <c r="I55" s="6">
        <f>IF(D55="Long",(G55-F55)*H55,(F55-G55)*H55)</f>
        <v/>
      </c>
      <c r="J55" s="6" t="n"/>
      <c r="K55" s="6">
        <f>I55-J55</f>
        <v/>
      </c>
      <c r="L55" s="7">
        <f>IFERROR(K55/ABS(AVERAGEIF(K2:K101,"&lt;"&amp;0)),"")</f>
        <v/>
      </c>
      <c r="M55" s="8" t="n"/>
      <c r="N55" s="4" t="n"/>
    </row>
    <row r="56">
      <c r="A56" s="2" t="n"/>
      <c r="B56" s="3" t="n"/>
      <c r="C56" s="4" t="n"/>
      <c r="D56" s="4" t="n"/>
      <c r="E56" s="4" t="n"/>
      <c r="F56" s="5" t="n"/>
      <c r="G56" s="5" t="n"/>
      <c r="H56" s="4" t="n"/>
      <c r="I56" s="6">
        <f>IF(D56="Long",(G56-F56)*H56,(F56-G56)*H56)</f>
        <v/>
      </c>
      <c r="J56" s="6" t="n"/>
      <c r="K56" s="6">
        <f>I56-J56</f>
        <v/>
      </c>
      <c r="L56" s="7">
        <f>IFERROR(K56/ABS(AVERAGEIF(K2:K101,"&lt;"&amp;0)),"")</f>
        <v/>
      </c>
      <c r="M56" s="8" t="n"/>
      <c r="N56" s="4" t="n"/>
    </row>
    <row r="57">
      <c r="A57" s="2" t="n"/>
      <c r="B57" s="3" t="n"/>
      <c r="C57" s="4" t="n"/>
      <c r="D57" s="4" t="n"/>
      <c r="E57" s="4" t="n"/>
      <c r="F57" s="5" t="n"/>
      <c r="G57" s="5" t="n"/>
      <c r="H57" s="4" t="n"/>
      <c r="I57" s="6">
        <f>IF(D57="Long",(G57-F57)*H57,(F57-G57)*H57)</f>
        <v/>
      </c>
      <c r="J57" s="6" t="n"/>
      <c r="K57" s="6">
        <f>I57-J57</f>
        <v/>
      </c>
      <c r="L57" s="7">
        <f>IFERROR(K57/ABS(AVERAGEIF(K2:K101,"&lt;"&amp;0)),"")</f>
        <v/>
      </c>
      <c r="M57" s="8" t="n"/>
      <c r="N57" s="4" t="n"/>
    </row>
    <row r="58">
      <c r="A58" s="2" t="n"/>
      <c r="B58" s="3" t="n"/>
      <c r="C58" s="4" t="n"/>
      <c r="D58" s="4" t="n"/>
      <c r="E58" s="4" t="n"/>
      <c r="F58" s="5" t="n"/>
      <c r="G58" s="5" t="n"/>
      <c r="H58" s="4" t="n"/>
      <c r="I58" s="6">
        <f>IF(D58="Long",(G58-F58)*H58,(F58-G58)*H58)</f>
        <v/>
      </c>
      <c r="J58" s="6" t="n"/>
      <c r="K58" s="6">
        <f>I58-J58</f>
        <v/>
      </c>
      <c r="L58" s="7">
        <f>IFERROR(K58/ABS(AVERAGEIF(K2:K101,"&lt;"&amp;0)),"")</f>
        <v/>
      </c>
      <c r="M58" s="8" t="n"/>
      <c r="N58" s="4" t="n"/>
    </row>
    <row r="59">
      <c r="A59" s="2" t="n"/>
      <c r="B59" s="3" t="n"/>
      <c r="C59" s="4" t="n"/>
      <c r="D59" s="4" t="n"/>
      <c r="E59" s="4" t="n"/>
      <c r="F59" s="5" t="n"/>
      <c r="G59" s="5" t="n"/>
      <c r="H59" s="4" t="n"/>
      <c r="I59" s="6">
        <f>IF(D59="Long",(G59-F59)*H59,(F59-G59)*H59)</f>
        <v/>
      </c>
      <c r="J59" s="6" t="n"/>
      <c r="K59" s="6">
        <f>I59-J59</f>
        <v/>
      </c>
      <c r="L59" s="7">
        <f>IFERROR(K59/ABS(AVERAGEIF(K2:K101,"&lt;"&amp;0)),"")</f>
        <v/>
      </c>
      <c r="M59" s="8" t="n"/>
      <c r="N59" s="4" t="n"/>
    </row>
    <row r="60">
      <c r="A60" s="2" t="n"/>
      <c r="B60" s="3" t="n"/>
      <c r="C60" s="4" t="n"/>
      <c r="D60" s="4" t="n"/>
      <c r="E60" s="4" t="n"/>
      <c r="F60" s="5" t="n"/>
      <c r="G60" s="5" t="n"/>
      <c r="H60" s="4" t="n"/>
      <c r="I60" s="6">
        <f>IF(D60="Long",(G60-F60)*H60,(F60-G60)*H60)</f>
        <v/>
      </c>
      <c r="J60" s="6" t="n"/>
      <c r="K60" s="6">
        <f>I60-J60</f>
        <v/>
      </c>
      <c r="L60" s="7">
        <f>IFERROR(K60/ABS(AVERAGEIF(K2:K101,"&lt;"&amp;0)),"")</f>
        <v/>
      </c>
      <c r="M60" s="8" t="n"/>
      <c r="N60" s="4" t="n"/>
    </row>
    <row r="61">
      <c r="A61" s="2" t="n"/>
      <c r="B61" s="3" t="n"/>
      <c r="C61" s="4" t="n"/>
      <c r="D61" s="4" t="n"/>
      <c r="E61" s="4" t="n"/>
      <c r="F61" s="5" t="n"/>
      <c r="G61" s="5" t="n"/>
      <c r="H61" s="4" t="n"/>
      <c r="I61" s="6">
        <f>IF(D61="Long",(G61-F61)*H61,(F61-G61)*H61)</f>
        <v/>
      </c>
      <c r="J61" s="6" t="n"/>
      <c r="K61" s="6">
        <f>I61-J61</f>
        <v/>
      </c>
      <c r="L61" s="7">
        <f>IFERROR(K61/ABS(AVERAGEIF(K2:K101,"&lt;"&amp;0)),"")</f>
        <v/>
      </c>
      <c r="M61" s="8" t="n"/>
      <c r="N61" s="4" t="n"/>
    </row>
    <row r="62">
      <c r="A62" s="2" t="n"/>
      <c r="B62" s="3" t="n"/>
      <c r="C62" s="4" t="n"/>
      <c r="D62" s="4" t="n"/>
      <c r="E62" s="4" t="n"/>
      <c r="F62" s="5" t="n"/>
      <c r="G62" s="5" t="n"/>
      <c r="H62" s="4" t="n"/>
      <c r="I62" s="6">
        <f>IF(D62="Long",(G62-F62)*H62,(F62-G62)*H62)</f>
        <v/>
      </c>
      <c r="J62" s="6" t="n"/>
      <c r="K62" s="6">
        <f>I62-J62</f>
        <v/>
      </c>
      <c r="L62" s="7">
        <f>IFERROR(K62/ABS(AVERAGEIF(K2:K101,"&lt;"&amp;0)),"")</f>
        <v/>
      </c>
      <c r="M62" s="8" t="n"/>
      <c r="N62" s="4" t="n"/>
    </row>
    <row r="63">
      <c r="A63" s="2" t="n"/>
      <c r="B63" s="3" t="n"/>
      <c r="C63" s="4" t="n"/>
      <c r="D63" s="4" t="n"/>
      <c r="E63" s="4" t="n"/>
      <c r="F63" s="5" t="n"/>
      <c r="G63" s="5" t="n"/>
      <c r="H63" s="4" t="n"/>
      <c r="I63" s="6">
        <f>IF(D63="Long",(G63-F63)*H63,(F63-G63)*H63)</f>
        <v/>
      </c>
      <c r="J63" s="6" t="n"/>
      <c r="K63" s="6">
        <f>I63-J63</f>
        <v/>
      </c>
      <c r="L63" s="7">
        <f>IFERROR(K63/ABS(AVERAGEIF(K2:K101,"&lt;"&amp;0)),"")</f>
        <v/>
      </c>
      <c r="M63" s="8" t="n"/>
      <c r="N63" s="4" t="n"/>
    </row>
    <row r="64">
      <c r="A64" s="2" t="n"/>
      <c r="B64" s="3" t="n"/>
      <c r="C64" s="4" t="n"/>
      <c r="D64" s="4" t="n"/>
      <c r="E64" s="4" t="n"/>
      <c r="F64" s="5" t="n"/>
      <c r="G64" s="5" t="n"/>
      <c r="H64" s="4" t="n"/>
      <c r="I64" s="6">
        <f>IF(D64="Long",(G64-F64)*H64,(F64-G64)*H64)</f>
        <v/>
      </c>
      <c r="J64" s="6" t="n"/>
      <c r="K64" s="6">
        <f>I64-J64</f>
        <v/>
      </c>
      <c r="L64" s="7">
        <f>IFERROR(K64/ABS(AVERAGEIF(K2:K101,"&lt;"&amp;0)),"")</f>
        <v/>
      </c>
      <c r="M64" s="8" t="n"/>
      <c r="N64" s="4" t="n"/>
    </row>
    <row r="65">
      <c r="A65" s="2" t="n"/>
      <c r="B65" s="3" t="n"/>
      <c r="C65" s="4" t="n"/>
      <c r="D65" s="4" t="n"/>
      <c r="E65" s="4" t="n"/>
      <c r="F65" s="5" t="n"/>
      <c r="G65" s="5" t="n"/>
      <c r="H65" s="4" t="n"/>
      <c r="I65" s="6">
        <f>IF(D65="Long",(G65-F65)*H65,(F65-G65)*H65)</f>
        <v/>
      </c>
      <c r="J65" s="6" t="n"/>
      <c r="K65" s="6">
        <f>I65-J65</f>
        <v/>
      </c>
      <c r="L65" s="7">
        <f>IFERROR(K65/ABS(AVERAGEIF(K2:K101,"&lt;"&amp;0)),"")</f>
        <v/>
      </c>
      <c r="M65" s="8" t="n"/>
      <c r="N65" s="4" t="n"/>
    </row>
    <row r="66">
      <c r="A66" s="2" t="n"/>
      <c r="B66" s="3" t="n"/>
      <c r="C66" s="4" t="n"/>
      <c r="D66" s="4" t="n"/>
      <c r="E66" s="4" t="n"/>
      <c r="F66" s="5" t="n"/>
      <c r="G66" s="5" t="n"/>
      <c r="H66" s="4" t="n"/>
      <c r="I66" s="6">
        <f>IF(D66="Long",(G66-F66)*H66,(F66-G66)*H66)</f>
        <v/>
      </c>
      <c r="J66" s="6" t="n"/>
      <c r="K66" s="6">
        <f>I66-J66</f>
        <v/>
      </c>
      <c r="L66" s="7">
        <f>IFERROR(K66/ABS(AVERAGEIF(K2:K101,"&lt;"&amp;0)),"")</f>
        <v/>
      </c>
      <c r="M66" s="8" t="n"/>
      <c r="N66" s="4" t="n"/>
    </row>
    <row r="67">
      <c r="A67" s="2" t="n"/>
      <c r="B67" s="3" t="n"/>
      <c r="C67" s="4" t="n"/>
      <c r="D67" s="4" t="n"/>
      <c r="E67" s="4" t="n"/>
      <c r="F67" s="5" t="n"/>
      <c r="G67" s="5" t="n"/>
      <c r="H67" s="4" t="n"/>
      <c r="I67" s="6">
        <f>IF(D67="Long",(G67-F67)*H67,(F67-G67)*H67)</f>
        <v/>
      </c>
      <c r="J67" s="6" t="n"/>
      <c r="K67" s="6">
        <f>I67-J67</f>
        <v/>
      </c>
      <c r="L67" s="7">
        <f>IFERROR(K67/ABS(AVERAGEIF(K2:K101,"&lt;"&amp;0)),"")</f>
        <v/>
      </c>
      <c r="M67" s="8" t="n"/>
      <c r="N67" s="4" t="n"/>
    </row>
    <row r="68">
      <c r="A68" s="2" t="n"/>
      <c r="B68" s="3" t="n"/>
      <c r="C68" s="4" t="n"/>
      <c r="D68" s="4" t="n"/>
      <c r="E68" s="4" t="n"/>
      <c r="F68" s="5" t="n"/>
      <c r="G68" s="5" t="n"/>
      <c r="H68" s="4" t="n"/>
      <c r="I68" s="6">
        <f>IF(D68="Long",(G68-F68)*H68,(F68-G68)*H68)</f>
        <v/>
      </c>
      <c r="J68" s="6" t="n"/>
      <c r="K68" s="6">
        <f>I68-J68</f>
        <v/>
      </c>
      <c r="L68" s="7">
        <f>IFERROR(K68/ABS(AVERAGEIF(K2:K101,"&lt;"&amp;0)),"")</f>
        <v/>
      </c>
      <c r="M68" s="8" t="n"/>
      <c r="N68" s="4" t="n"/>
    </row>
    <row r="69">
      <c r="A69" s="2" t="n"/>
      <c r="B69" s="3" t="n"/>
      <c r="C69" s="4" t="n"/>
      <c r="D69" s="4" t="n"/>
      <c r="E69" s="4" t="n"/>
      <c r="F69" s="5" t="n"/>
      <c r="G69" s="5" t="n"/>
      <c r="H69" s="4" t="n"/>
      <c r="I69" s="6">
        <f>IF(D69="Long",(G69-F69)*H69,(F69-G69)*H69)</f>
        <v/>
      </c>
      <c r="J69" s="6" t="n"/>
      <c r="K69" s="6">
        <f>I69-J69</f>
        <v/>
      </c>
      <c r="L69" s="7">
        <f>IFERROR(K69/ABS(AVERAGEIF(K2:K101,"&lt;"&amp;0)),"")</f>
        <v/>
      </c>
      <c r="M69" s="8" t="n"/>
      <c r="N69" s="4" t="n"/>
    </row>
    <row r="70">
      <c r="A70" s="2" t="n"/>
      <c r="B70" s="3" t="n"/>
      <c r="C70" s="4" t="n"/>
      <c r="D70" s="4" t="n"/>
      <c r="E70" s="4" t="n"/>
      <c r="F70" s="5" t="n"/>
      <c r="G70" s="5" t="n"/>
      <c r="H70" s="4" t="n"/>
      <c r="I70" s="6">
        <f>IF(D70="Long",(G70-F70)*H70,(F70-G70)*H70)</f>
        <v/>
      </c>
      <c r="J70" s="6" t="n"/>
      <c r="K70" s="6">
        <f>I70-J70</f>
        <v/>
      </c>
      <c r="L70" s="7">
        <f>IFERROR(K70/ABS(AVERAGEIF(K2:K101,"&lt;"&amp;0)),"")</f>
        <v/>
      </c>
      <c r="M70" s="8" t="n"/>
      <c r="N70" s="4" t="n"/>
    </row>
    <row r="71">
      <c r="A71" s="2" t="n"/>
      <c r="B71" s="3" t="n"/>
      <c r="C71" s="4" t="n"/>
      <c r="D71" s="4" t="n"/>
      <c r="E71" s="4" t="n"/>
      <c r="F71" s="5" t="n"/>
      <c r="G71" s="5" t="n"/>
      <c r="H71" s="4" t="n"/>
      <c r="I71" s="6">
        <f>IF(D71="Long",(G71-F71)*H71,(F71-G71)*H71)</f>
        <v/>
      </c>
      <c r="J71" s="6" t="n"/>
      <c r="K71" s="6">
        <f>I71-J71</f>
        <v/>
      </c>
      <c r="L71" s="7">
        <f>IFERROR(K71/ABS(AVERAGEIF(K2:K101,"&lt;"&amp;0)),"")</f>
        <v/>
      </c>
      <c r="M71" s="8" t="n"/>
      <c r="N71" s="4" t="n"/>
    </row>
    <row r="72">
      <c r="A72" s="2" t="n"/>
      <c r="B72" s="3" t="n"/>
      <c r="C72" s="4" t="n"/>
      <c r="D72" s="4" t="n"/>
      <c r="E72" s="4" t="n"/>
      <c r="F72" s="5" t="n"/>
      <c r="G72" s="5" t="n"/>
      <c r="H72" s="4" t="n"/>
      <c r="I72" s="6">
        <f>IF(D72="Long",(G72-F72)*H72,(F72-G72)*H72)</f>
        <v/>
      </c>
      <c r="J72" s="6" t="n"/>
      <c r="K72" s="6">
        <f>I72-J72</f>
        <v/>
      </c>
      <c r="L72" s="7">
        <f>IFERROR(K72/ABS(AVERAGEIF(K2:K101,"&lt;"&amp;0)),"")</f>
        <v/>
      </c>
      <c r="M72" s="8" t="n"/>
      <c r="N72" s="4" t="n"/>
    </row>
    <row r="73">
      <c r="A73" s="2" t="n"/>
      <c r="B73" s="3" t="n"/>
      <c r="C73" s="4" t="n"/>
      <c r="D73" s="4" t="n"/>
      <c r="E73" s="4" t="n"/>
      <c r="F73" s="5" t="n"/>
      <c r="G73" s="5" t="n"/>
      <c r="H73" s="4" t="n"/>
      <c r="I73" s="6">
        <f>IF(D73="Long",(G73-F73)*H73,(F73-G73)*H73)</f>
        <v/>
      </c>
      <c r="J73" s="6" t="n"/>
      <c r="K73" s="6">
        <f>I73-J73</f>
        <v/>
      </c>
      <c r="L73" s="7">
        <f>IFERROR(K73/ABS(AVERAGEIF(K2:K101,"&lt;"&amp;0)),"")</f>
        <v/>
      </c>
      <c r="M73" s="8" t="n"/>
      <c r="N73" s="4" t="n"/>
    </row>
    <row r="74">
      <c r="A74" s="2" t="n"/>
      <c r="B74" s="3" t="n"/>
      <c r="C74" s="4" t="n"/>
      <c r="D74" s="4" t="n"/>
      <c r="E74" s="4" t="n"/>
      <c r="F74" s="5" t="n"/>
      <c r="G74" s="5" t="n"/>
      <c r="H74" s="4" t="n"/>
      <c r="I74" s="6">
        <f>IF(D74="Long",(G74-F74)*H74,(F74-G74)*H74)</f>
        <v/>
      </c>
      <c r="J74" s="6" t="n"/>
      <c r="K74" s="6">
        <f>I74-J74</f>
        <v/>
      </c>
      <c r="L74" s="7">
        <f>IFERROR(K74/ABS(AVERAGEIF(K2:K101,"&lt;"&amp;0)),"")</f>
        <v/>
      </c>
      <c r="M74" s="8" t="n"/>
      <c r="N74" s="4" t="n"/>
    </row>
    <row r="75">
      <c r="A75" s="2" t="n"/>
      <c r="B75" s="3" t="n"/>
      <c r="C75" s="4" t="n"/>
      <c r="D75" s="4" t="n"/>
      <c r="E75" s="4" t="n"/>
      <c r="F75" s="5" t="n"/>
      <c r="G75" s="5" t="n"/>
      <c r="H75" s="4" t="n"/>
      <c r="I75" s="6">
        <f>IF(D75="Long",(G75-F75)*H75,(F75-G75)*H75)</f>
        <v/>
      </c>
      <c r="J75" s="6" t="n"/>
      <c r="K75" s="6">
        <f>I75-J75</f>
        <v/>
      </c>
      <c r="L75" s="7">
        <f>IFERROR(K75/ABS(AVERAGEIF(K2:K101,"&lt;"&amp;0)),"")</f>
        <v/>
      </c>
      <c r="M75" s="8" t="n"/>
      <c r="N75" s="4" t="n"/>
    </row>
    <row r="76">
      <c r="A76" s="2" t="n"/>
      <c r="B76" s="3" t="n"/>
      <c r="C76" s="4" t="n"/>
      <c r="D76" s="4" t="n"/>
      <c r="E76" s="4" t="n"/>
      <c r="F76" s="5" t="n"/>
      <c r="G76" s="5" t="n"/>
      <c r="H76" s="4" t="n"/>
      <c r="I76" s="6">
        <f>IF(D76="Long",(G76-F76)*H76,(F76-G76)*H76)</f>
        <v/>
      </c>
      <c r="J76" s="6" t="n"/>
      <c r="K76" s="6">
        <f>I76-J76</f>
        <v/>
      </c>
      <c r="L76" s="7">
        <f>IFERROR(K76/ABS(AVERAGEIF(K2:K101,"&lt;"&amp;0)),"")</f>
        <v/>
      </c>
      <c r="M76" s="8" t="n"/>
      <c r="N76" s="4" t="n"/>
    </row>
    <row r="77">
      <c r="A77" s="2" t="n"/>
      <c r="B77" s="3" t="n"/>
      <c r="C77" s="4" t="n"/>
      <c r="D77" s="4" t="n"/>
      <c r="E77" s="4" t="n"/>
      <c r="F77" s="5" t="n"/>
      <c r="G77" s="5" t="n"/>
      <c r="H77" s="4" t="n"/>
      <c r="I77" s="6">
        <f>IF(D77="Long",(G77-F77)*H77,(F77-G77)*H77)</f>
        <v/>
      </c>
      <c r="J77" s="6" t="n"/>
      <c r="K77" s="6">
        <f>I77-J77</f>
        <v/>
      </c>
      <c r="L77" s="7">
        <f>IFERROR(K77/ABS(AVERAGEIF(K2:K101,"&lt;"&amp;0)),"")</f>
        <v/>
      </c>
      <c r="M77" s="8" t="n"/>
      <c r="N77" s="4" t="n"/>
    </row>
    <row r="78">
      <c r="A78" s="2" t="n"/>
      <c r="B78" s="3" t="n"/>
      <c r="C78" s="4" t="n"/>
      <c r="D78" s="4" t="n"/>
      <c r="E78" s="4" t="n"/>
      <c r="F78" s="5" t="n"/>
      <c r="G78" s="5" t="n"/>
      <c r="H78" s="4" t="n"/>
      <c r="I78" s="6">
        <f>IF(D78="Long",(G78-F78)*H78,(F78-G78)*H78)</f>
        <v/>
      </c>
      <c r="J78" s="6" t="n"/>
      <c r="K78" s="6">
        <f>I78-J78</f>
        <v/>
      </c>
      <c r="L78" s="7">
        <f>IFERROR(K78/ABS(AVERAGEIF(K2:K101,"&lt;"&amp;0)),"")</f>
        <v/>
      </c>
      <c r="M78" s="8" t="n"/>
      <c r="N78" s="4" t="n"/>
    </row>
    <row r="79">
      <c r="A79" s="2" t="n"/>
      <c r="B79" s="3" t="n"/>
      <c r="C79" s="4" t="n"/>
      <c r="D79" s="4" t="n"/>
      <c r="E79" s="4" t="n"/>
      <c r="F79" s="5" t="n"/>
      <c r="G79" s="5" t="n"/>
      <c r="H79" s="4" t="n"/>
      <c r="I79" s="6">
        <f>IF(D79="Long",(G79-F79)*H79,(F79-G79)*H79)</f>
        <v/>
      </c>
      <c r="J79" s="6" t="n"/>
      <c r="K79" s="6">
        <f>I79-J79</f>
        <v/>
      </c>
      <c r="L79" s="7">
        <f>IFERROR(K79/ABS(AVERAGEIF(K2:K101,"&lt;"&amp;0)),"")</f>
        <v/>
      </c>
      <c r="M79" s="8" t="n"/>
      <c r="N79" s="4" t="n"/>
    </row>
    <row r="80">
      <c r="A80" s="2" t="n"/>
      <c r="B80" s="3" t="n"/>
      <c r="C80" s="4" t="n"/>
      <c r="D80" s="4" t="n"/>
      <c r="E80" s="4" t="n"/>
      <c r="F80" s="5" t="n"/>
      <c r="G80" s="5" t="n"/>
      <c r="H80" s="4" t="n"/>
      <c r="I80" s="6">
        <f>IF(D80="Long",(G80-F80)*H80,(F80-G80)*H80)</f>
        <v/>
      </c>
      <c r="J80" s="6" t="n"/>
      <c r="K80" s="6">
        <f>I80-J80</f>
        <v/>
      </c>
      <c r="L80" s="7">
        <f>IFERROR(K80/ABS(AVERAGEIF(K2:K101,"&lt;"&amp;0)),"")</f>
        <v/>
      </c>
      <c r="M80" s="8" t="n"/>
      <c r="N80" s="4" t="n"/>
    </row>
    <row r="81">
      <c r="A81" s="2" t="n"/>
      <c r="B81" s="3" t="n"/>
      <c r="C81" s="4" t="n"/>
      <c r="D81" s="4" t="n"/>
      <c r="E81" s="4" t="n"/>
      <c r="F81" s="5" t="n"/>
      <c r="G81" s="5" t="n"/>
      <c r="H81" s="4" t="n"/>
      <c r="I81" s="6">
        <f>IF(D81="Long",(G81-F81)*H81,(F81-G81)*H81)</f>
        <v/>
      </c>
      <c r="J81" s="6" t="n"/>
      <c r="K81" s="6">
        <f>I81-J81</f>
        <v/>
      </c>
      <c r="L81" s="7">
        <f>IFERROR(K81/ABS(AVERAGEIF(K2:K101,"&lt;"&amp;0)),"")</f>
        <v/>
      </c>
      <c r="M81" s="8" t="n"/>
      <c r="N81" s="4" t="n"/>
    </row>
    <row r="82">
      <c r="A82" s="2" t="n"/>
      <c r="B82" s="3" t="n"/>
      <c r="C82" s="4" t="n"/>
      <c r="D82" s="4" t="n"/>
      <c r="E82" s="4" t="n"/>
      <c r="F82" s="5" t="n"/>
      <c r="G82" s="5" t="n"/>
      <c r="H82" s="4" t="n"/>
      <c r="I82" s="6">
        <f>IF(D82="Long",(G82-F82)*H82,(F82-G82)*H82)</f>
        <v/>
      </c>
      <c r="J82" s="6" t="n"/>
      <c r="K82" s="6">
        <f>I82-J82</f>
        <v/>
      </c>
      <c r="L82" s="7">
        <f>IFERROR(K82/ABS(AVERAGEIF(K2:K101,"&lt;"&amp;0)),"")</f>
        <v/>
      </c>
      <c r="M82" s="8" t="n"/>
      <c r="N82" s="4" t="n"/>
    </row>
    <row r="83">
      <c r="A83" s="2" t="n"/>
      <c r="B83" s="3" t="n"/>
      <c r="C83" s="4" t="n"/>
      <c r="D83" s="4" t="n"/>
      <c r="E83" s="4" t="n"/>
      <c r="F83" s="5" t="n"/>
      <c r="G83" s="5" t="n"/>
      <c r="H83" s="4" t="n"/>
      <c r="I83" s="6">
        <f>IF(D83="Long",(G83-F83)*H83,(F83-G83)*H83)</f>
        <v/>
      </c>
      <c r="J83" s="6" t="n"/>
      <c r="K83" s="6">
        <f>I83-J83</f>
        <v/>
      </c>
      <c r="L83" s="7">
        <f>IFERROR(K83/ABS(AVERAGEIF(K2:K101,"&lt;"&amp;0)),"")</f>
        <v/>
      </c>
      <c r="M83" s="8" t="n"/>
      <c r="N83" s="4" t="n"/>
    </row>
    <row r="84">
      <c r="A84" s="2" t="n"/>
      <c r="B84" s="3" t="n"/>
      <c r="C84" s="4" t="n"/>
      <c r="D84" s="4" t="n"/>
      <c r="E84" s="4" t="n"/>
      <c r="F84" s="5" t="n"/>
      <c r="G84" s="5" t="n"/>
      <c r="H84" s="4" t="n"/>
      <c r="I84" s="6">
        <f>IF(D84="Long",(G84-F84)*H84,(F84-G84)*H84)</f>
        <v/>
      </c>
      <c r="J84" s="6" t="n"/>
      <c r="K84" s="6">
        <f>I84-J84</f>
        <v/>
      </c>
      <c r="L84" s="7">
        <f>IFERROR(K84/ABS(AVERAGEIF(K2:K101,"&lt;"&amp;0)),"")</f>
        <v/>
      </c>
      <c r="M84" s="8" t="n"/>
      <c r="N84" s="4" t="n"/>
    </row>
    <row r="85">
      <c r="A85" s="2" t="n"/>
      <c r="B85" s="3" t="n"/>
      <c r="C85" s="4" t="n"/>
      <c r="D85" s="4" t="n"/>
      <c r="E85" s="4" t="n"/>
      <c r="F85" s="5" t="n"/>
      <c r="G85" s="5" t="n"/>
      <c r="H85" s="4" t="n"/>
      <c r="I85" s="6">
        <f>IF(D85="Long",(G85-F85)*H85,(F85-G85)*H85)</f>
        <v/>
      </c>
      <c r="J85" s="6" t="n"/>
      <c r="K85" s="6">
        <f>I85-J85</f>
        <v/>
      </c>
      <c r="L85" s="7">
        <f>IFERROR(K85/ABS(AVERAGEIF(K2:K101,"&lt;"&amp;0)),"")</f>
        <v/>
      </c>
      <c r="M85" s="8" t="n"/>
      <c r="N85" s="4" t="n"/>
    </row>
    <row r="86">
      <c r="A86" s="2" t="n"/>
      <c r="B86" s="3" t="n"/>
      <c r="C86" s="4" t="n"/>
      <c r="D86" s="4" t="n"/>
      <c r="E86" s="4" t="n"/>
      <c r="F86" s="5" t="n"/>
      <c r="G86" s="5" t="n"/>
      <c r="H86" s="4" t="n"/>
      <c r="I86" s="6">
        <f>IF(D86="Long",(G86-F86)*H86,(F86-G86)*H86)</f>
        <v/>
      </c>
      <c r="J86" s="6" t="n"/>
      <c r="K86" s="6">
        <f>I86-J86</f>
        <v/>
      </c>
      <c r="L86" s="7">
        <f>IFERROR(K86/ABS(AVERAGEIF(K2:K101,"&lt;"&amp;0)),"")</f>
        <v/>
      </c>
      <c r="M86" s="8" t="n"/>
      <c r="N86" s="4" t="n"/>
    </row>
    <row r="87">
      <c r="A87" s="2" t="n"/>
      <c r="B87" s="3" t="n"/>
      <c r="C87" s="4" t="n"/>
      <c r="D87" s="4" t="n"/>
      <c r="E87" s="4" t="n"/>
      <c r="F87" s="5" t="n"/>
      <c r="G87" s="5" t="n"/>
      <c r="H87" s="4" t="n"/>
      <c r="I87" s="6">
        <f>IF(D87="Long",(G87-F87)*H87,(F87-G87)*H87)</f>
        <v/>
      </c>
      <c r="J87" s="6" t="n"/>
      <c r="K87" s="6">
        <f>I87-J87</f>
        <v/>
      </c>
      <c r="L87" s="7">
        <f>IFERROR(K87/ABS(AVERAGEIF(K2:K101,"&lt;"&amp;0)),"")</f>
        <v/>
      </c>
      <c r="M87" s="8" t="n"/>
      <c r="N87" s="4" t="n"/>
    </row>
    <row r="88">
      <c r="A88" s="2" t="n"/>
      <c r="B88" s="3" t="n"/>
      <c r="C88" s="4" t="n"/>
      <c r="D88" s="4" t="n"/>
      <c r="E88" s="4" t="n"/>
      <c r="F88" s="5" t="n"/>
      <c r="G88" s="5" t="n"/>
      <c r="H88" s="4" t="n"/>
      <c r="I88" s="6">
        <f>IF(D88="Long",(G88-F88)*H88,(F88-G88)*H88)</f>
        <v/>
      </c>
      <c r="J88" s="6" t="n"/>
      <c r="K88" s="6">
        <f>I88-J88</f>
        <v/>
      </c>
      <c r="L88" s="7">
        <f>IFERROR(K88/ABS(AVERAGEIF(K2:K101,"&lt;"&amp;0)),"")</f>
        <v/>
      </c>
      <c r="M88" s="8" t="n"/>
      <c r="N88" s="4" t="n"/>
    </row>
    <row r="89">
      <c r="A89" s="2" t="n"/>
      <c r="B89" s="3" t="n"/>
      <c r="C89" s="4" t="n"/>
      <c r="D89" s="4" t="n"/>
      <c r="E89" s="4" t="n"/>
      <c r="F89" s="5" t="n"/>
      <c r="G89" s="5" t="n"/>
      <c r="H89" s="4" t="n"/>
      <c r="I89" s="6">
        <f>IF(D89="Long",(G89-F89)*H89,(F89-G89)*H89)</f>
        <v/>
      </c>
      <c r="J89" s="6" t="n"/>
      <c r="K89" s="6">
        <f>I89-J89</f>
        <v/>
      </c>
      <c r="L89" s="7">
        <f>IFERROR(K89/ABS(AVERAGEIF(K2:K101,"&lt;"&amp;0)),"")</f>
        <v/>
      </c>
      <c r="M89" s="8" t="n"/>
      <c r="N89" s="4" t="n"/>
    </row>
    <row r="90">
      <c r="A90" s="2" t="n"/>
      <c r="B90" s="3" t="n"/>
      <c r="C90" s="4" t="n"/>
      <c r="D90" s="4" t="n"/>
      <c r="E90" s="4" t="n"/>
      <c r="F90" s="5" t="n"/>
      <c r="G90" s="5" t="n"/>
      <c r="H90" s="4" t="n"/>
      <c r="I90" s="6">
        <f>IF(D90="Long",(G90-F90)*H90,(F90-G90)*H90)</f>
        <v/>
      </c>
      <c r="J90" s="6" t="n"/>
      <c r="K90" s="6">
        <f>I90-J90</f>
        <v/>
      </c>
      <c r="L90" s="7">
        <f>IFERROR(K90/ABS(AVERAGEIF(K2:K101,"&lt;"&amp;0)),"")</f>
        <v/>
      </c>
      <c r="M90" s="8" t="n"/>
      <c r="N90" s="4" t="n"/>
    </row>
    <row r="91">
      <c r="A91" s="2" t="n"/>
      <c r="B91" s="3" t="n"/>
      <c r="C91" s="4" t="n"/>
      <c r="D91" s="4" t="n"/>
      <c r="E91" s="4" t="n"/>
      <c r="F91" s="5" t="n"/>
      <c r="G91" s="5" t="n"/>
      <c r="H91" s="4" t="n"/>
      <c r="I91" s="6">
        <f>IF(D91="Long",(G91-F91)*H91,(F91-G91)*H91)</f>
        <v/>
      </c>
      <c r="J91" s="6" t="n"/>
      <c r="K91" s="6">
        <f>I91-J91</f>
        <v/>
      </c>
      <c r="L91" s="7">
        <f>IFERROR(K91/ABS(AVERAGEIF(K2:K101,"&lt;"&amp;0)),"")</f>
        <v/>
      </c>
      <c r="M91" s="8" t="n"/>
      <c r="N91" s="4" t="n"/>
    </row>
    <row r="92">
      <c r="A92" s="2" t="n"/>
      <c r="B92" s="3" t="n"/>
      <c r="C92" s="4" t="n"/>
      <c r="D92" s="4" t="n"/>
      <c r="E92" s="4" t="n"/>
      <c r="F92" s="5" t="n"/>
      <c r="G92" s="5" t="n"/>
      <c r="H92" s="4" t="n"/>
      <c r="I92" s="6">
        <f>IF(D92="Long",(G92-F92)*H92,(F92-G92)*H92)</f>
        <v/>
      </c>
      <c r="J92" s="6" t="n"/>
      <c r="K92" s="6">
        <f>I92-J92</f>
        <v/>
      </c>
      <c r="L92" s="7">
        <f>IFERROR(K92/ABS(AVERAGEIF(K2:K101,"&lt;"&amp;0)),"")</f>
        <v/>
      </c>
      <c r="M92" s="8" t="n"/>
      <c r="N92" s="4" t="n"/>
    </row>
    <row r="93">
      <c r="A93" s="2" t="n"/>
      <c r="B93" s="3" t="n"/>
      <c r="C93" s="4" t="n"/>
      <c r="D93" s="4" t="n"/>
      <c r="E93" s="4" t="n"/>
      <c r="F93" s="5" t="n"/>
      <c r="G93" s="5" t="n"/>
      <c r="H93" s="4" t="n"/>
      <c r="I93" s="6">
        <f>IF(D93="Long",(G93-F93)*H93,(F93-G93)*H93)</f>
        <v/>
      </c>
      <c r="J93" s="6" t="n"/>
      <c r="K93" s="6">
        <f>I93-J93</f>
        <v/>
      </c>
      <c r="L93" s="7">
        <f>IFERROR(K93/ABS(AVERAGEIF(K2:K101,"&lt;"&amp;0)),"")</f>
        <v/>
      </c>
      <c r="M93" s="8" t="n"/>
      <c r="N93" s="4" t="n"/>
    </row>
    <row r="94">
      <c r="A94" s="2" t="n"/>
      <c r="B94" s="3" t="n"/>
      <c r="C94" s="4" t="n"/>
      <c r="D94" s="4" t="n"/>
      <c r="E94" s="4" t="n"/>
      <c r="F94" s="5" t="n"/>
      <c r="G94" s="5" t="n"/>
      <c r="H94" s="4" t="n"/>
      <c r="I94" s="6">
        <f>IF(D94="Long",(G94-F94)*H94,(F94-G94)*H94)</f>
        <v/>
      </c>
      <c r="J94" s="6" t="n"/>
      <c r="K94" s="6">
        <f>I94-J94</f>
        <v/>
      </c>
      <c r="L94" s="7">
        <f>IFERROR(K94/ABS(AVERAGEIF(K2:K101,"&lt;"&amp;0)),"")</f>
        <v/>
      </c>
      <c r="M94" s="8" t="n"/>
      <c r="N94" s="4" t="n"/>
    </row>
    <row r="95">
      <c r="A95" s="2" t="n"/>
      <c r="B95" s="3" t="n"/>
      <c r="C95" s="4" t="n"/>
      <c r="D95" s="4" t="n"/>
      <c r="E95" s="4" t="n"/>
      <c r="F95" s="5" t="n"/>
      <c r="G95" s="5" t="n"/>
      <c r="H95" s="4" t="n"/>
      <c r="I95" s="6">
        <f>IF(D95="Long",(G95-F95)*H95,(F95-G95)*H95)</f>
        <v/>
      </c>
      <c r="J95" s="6" t="n"/>
      <c r="K95" s="6">
        <f>I95-J95</f>
        <v/>
      </c>
      <c r="L95" s="7">
        <f>IFERROR(K95/ABS(AVERAGEIF(K2:K101,"&lt;"&amp;0)),"")</f>
        <v/>
      </c>
      <c r="M95" s="8" t="n"/>
      <c r="N95" s="4" t="n"/>
    </row>
    <row r="96">
      <c r="A96" s="2" t="n"/>
      <c r="B96" s="3" t="n"/>
      <c r="C96" s="4" t="n"/>
      <c r="D96" s="4" t="n"/>
      <c r="E96" s="4" t="n"/>
      <c r="F96" s="5" t="n"/>
      <c r="G96" s="5" t="n"/>
      <c r="H96" s="4" t="n"/>
      <c r="I96" s="6">
        <f>IF(D96="Long",(G96-F96)*H96,(F96-G96)*H96)</f>
        <v/>
      </c>
      <c r="J96" s="6" t="n"/>
      <c r="K96" s="6">
        <f>I96-J96</f>
        <v/>
      </c>
      <c r="L96" s="7">
        <f>IFERROR(K96/ABS(AVERAGEIF(K2:K101,"&lt;"&amp;0)),"")</f>
        <v/>
      </c>
      <c r="M96" s="8" t="n"/>
      <c r="N96" s="4" t="n"/>
    </row>
    <row r="97">
      <c r="A97" s="2" t="n"/>
      <c r="B97" s="3" t="n"/>
      <c r="C97" s="4" t="n"/>
      <c r="D97" s="4" t="n"/>
      <c r="E97" s="4" t="n"/>
      <c r="F97" s="5" t="n"/>
      <c r="G97" s="5" t="n"/>
      <c r="H97" s="4" t="n"/>
      <c r="I97" s="6">
        <f>IF(D97="Long",(G97-F97)*H97,(F97-G97)*H97)</f>
        <v/>
      </c>
      <c r="J97" s="6" t="n"/>
      <c r="K97" s="6">
        <f>I97-J97</f>
        <v/>
      </c>
      <c r="L97" s="7">
        <f>IFERROR(K97/ABS(AVERAGEIF(K2:K101,"&lt;"&amp;0)),"")</f>
        <v/>
      </c>
      <c r="M97" s="8" t="n"/>
      <c r="N97" s="4" t="n"/>
    </row>
    <row r="98">
      <c r="A98" s="2" t="n"/>
      <c r="B98" s="3" t="n"/>
      <c r="C98" s="4" t="n"/>
      <c r="D98" s="4" t="n"/>
      <c r="E98" s="4" t="n"/>
      <c r="F98" s="5" t="n"/>
      <c r="G98" s="5" t="n"/>
      <c r="H98" s="4" t="n"/>
      <c r="I98" s="6">
        <f>IF(D98="Long",(G98-F98)*H98,(F98-G98)*H98)</f>
        <v/>
      </c>
      <c r="J98" s="6" t="n"/>
      <c r="K98" s="6">
        <f>I98-J98</f>
        <v/>
      </c>
      <c r="L98" s="7">
        <f>IFERROR(K98/ABS(AVERAGEIF(K2:K101,"&lt;"&amp;0)),"")</f>
        <v/>
      </c>
      <c r="M98" s="8" t="n"/>
      <c r="N98" s="4" t="n"/>
    </row>
    <row r="99">
      <c r="A99" s="2" t="n"/>
      <c r="B99" s="3" t="n"/>
      <c r="C99" s="4" t="n"/>
      <c r="D99" s="4" t="n"/>
      <c r="E99" s="4" t="n"/>
      <c r="F99" s="5" t="n"/>
      <c r="G99" s="5" t="n"/>
      <c r="H99" s="4" t="n"/>
      <c r="I99" s="6">
        <f>IF(D99="Long",(G99-F99)*H99,(F99-G99)*H99)</f>
        <v/>
      </c>
      <c r="J99" s="6" t="n"/>
      <c r="K99" s="6">
        <f>I99-J99</f>
        <v/>
      </c>
      <c r="L99" s="7">
        <f>IFERROR(K99/ABS(AVERAGEIF(K2:K101,"&lt;"&amp;0)),"")</f>
        <v/>
      </c>
      <c r="M99" s="8" t="n"/>
      <c r="N99" s="4" t="n"/>
    </row>
    <row r="100">
      <c r="A100" s="2" t="n"/>
      <c r="B100" s="3" t="n"/>
      <c r="C100" s="4" t="n"/>
      <c r="D100" s="4" t="n"/>
      <c r="E100" s="4" t="n"/>
      <c r="F100" s="5" t="n"/>
      <c r="G100" s="5" t="n"/>
      <c r="H100" s="4" t="n"/>
      <c r="I100" s="6">
        <f>IF(D100="Long",(G100-F100)*H100,(F100-G100)*H100)</f>
        <v/>
      </c>
      <c r="J100" s="6" t="n"/>
      <c r="K100" s="6">
        <f>I100-J100</f>
        <v/>
      </c>
      <c r="L100" s="7">
        <f>IFERROR(K100/ABS(AVERAGEIF(K2:K101,"&lt;"&amp;0)),"")</f>
        <v/>
      </c>
      <c r="M100" s="8" t="n"/>
      <c r="N100" s="4" t="n"/>
    </row>
    <row r="101">
      <c r="A101" s="2" t="n"/>
      <c r="B101" s="3" t="n"/>
      <c r="C101" s="4" t="n"/>
      <c r="D101" s="4" t="n"/>
      <c r="E101" s="4" t="n"/>
      <c r="F101" s="5" t="n"/>
      <c r="G101" s="5" t="n"/>
      <c r="H101" s="4" t="n"/>
      <c r="I101" s="6">
        <f>IF(D101="Long",(G101-F101)*H101,(F101-G101)*H101)</f>
        <v/>
      </c>
      <c r="J101" s="6" t="n"/>
      <c r="K101" s="6">
        <f>I101-J101</f>
        <v/>
      </c>
      <c r="L101" s="7">
        <f>IFERROR(K101/ABS(AVERAGEIF(K2:K101,"&lt;"&amp;0)),"")</f>
        <v/>
      </c>
      <c r="M101" s="8" t="n"/>
      <c r="N101" s="4" t="n"/>
    </row>
  </sheetData>
  <conditionalFormatting sqref="K2:K10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D2:D101">
    <cfRule type="cellIs" priority="3" operator="equal" dxfId="2">
      <formula>"Long"</formula>
    </cfRule>
    <cfRule type="cellIs" priority="4" operator="equal" dxfId="3">
      <formula>"Short"</formula>
    </cfRule>
  </conditionalFormatting>
  <dataValidations count="1">
    <dataValidation sqref="D2:D101" showDropDown="0" showInputMessage="0" showErrorMessage="0" allowBlank="1" type="list">
      <formula1>"Long,Short"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A7D6E"/>
    <outlinePr summaryBelow="1" summaryRight="1"/>
    <pageSetUpPr/>
  </sheetPr>
  <dimension ref="A1:P10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2" customWidth="1" min="4" max="4"/>
    <col width="18" customWidth="1" min="5" max="5"/>
    <col width="10" customWidth="1" min="6" max="6"/>
    <col width="10" customWidth="1" min="7" max="7"/>
    <col width="10" customWidth="1" min="8" max="8"/>
    <col width="12" customWidth="1" min="9" max="9"/>
    <col width="12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9" t="inlineStr">
        <is>
          <t>Trading Dashboard</t>
        </is>
      </c>
    </row>
    <row r="2">
      <c r="A2" s="10" t="inlineStr">
        <is>
          <t>Auto-calculated from your Trade Log</t>
        </is>
      </c>
    </row>
    <row r="4">
      <c r="A4" s="11" t="inlineStr">
        <is>
          <t>Total Trades</t>
        </is>
      </c>
      <c r="B4" s="12" t="n"/>
      <c r="C4" s="11" t="inlineStr">
        <is>
          <t>Win Rate</t>
        </is>
      </c>
      <c r="D4" s="12" t="n"/>
      <c r="E4" s="11" t="inlineStr">
        <is>
          <t>Total Net P&amp;L</t>
        </is>
      </c>
      <c r="F4" s="12" t="n"/>
      <c r="G4" s="11" t="inlineStr">
        <is>
          <t>Avg Win</t>
        </is>
      </c>
      <c r="H4" s="12" t="n"/>
      <c r="I4" s="11" t="inlineStr">
        <is>
          <t>Avg Loss</t>
        </is>
      </c>
      <c r="J4" s="12" t="n"/>
      <c r="K4" s="11" t="inlineStr">
        <is>
          <t>Profit Factor</t>
        </is>
      </c>
      <c r="L4" s="12" t="n"/>
      <c r="M4" s="11" t="inlineStr">
        <is>
          <t>Largest Win</t>
        </is>
      </c>
      <c r="N4" s="12" t="n"/>
      <c r="O4" s="11" t="inlineStr">
        <is>
          <t>Largest Loss</t>
        </is>
      </c>
      <c r="P4" s="12" t="n"/>
    </row>
    <row r="5">
      <c r="A5" s="13">
        <f>COUNTA('Trade Log'!A2:A101)</f>
        <v/>
      </c>
      <c r="B5" s="12" t="n"/>
      <c r="C5" s="14">
        <f>IFERROR(COUNTIF('Trade Log'!K2:K101,"&gt;"&amp;0)/COUNTA('Trade Log'!K2:K101),0)</f>
        <v/>
      </c>
      <c r="D5" s="12" t="n"/>
      <c r="E5" s="15">
        <f>SUM('Trade Log'!K2:K101)</f>
        <v/>
      </c>
      <c r="F5" s="12" t="n"/>
      <c r="G5" s="15">
        <f>IFERROR(AVERAGEIF('Trade Log'!K2:K101,"&gt;"&amp;0),0)</f>
        <v/>
      </c>
      <c r="H5" s="12" t="n"/>
      <c r="I5" s="15">
        <f>IFERROR(AVERAGEIF('Trade Log'!K2:K101,"&lt;"&amp;0),0)</f>
        <v/>
      </c>
      <c r="J5" s="12" t="n"/>
      <c r="K5" s="16">
        <f>IFERROR(SUMIF('Trade Log'!K2:K101,"&gt;"&amp;0)/ABS(SUMIF('Trade Log'!K2:K101,"&lt;"&amp;0)),0)</f>
        <v/>
      </c>
      <c r="L5" s="12" t="n"/>
      <c r="M5" s="15">
        <f>IFERROR(MAX('Trade Log'!K2:K101),0)</f>
        <v/>
      </c>
      <c r="N5" s="12" t="n"/>
      <c r="O5" s="15">
        <f>IFERROR(MIN('Trade Log'!K2:K101),0)</f>
        <v/>
      </c>
      <c r="P5" s="12" t="n"/>
    </row>
    <row r="8">
      <c r="A8" s="17" t="inlineStr">
        <is>
          <t>Cumulative P&amp;L</t>
        </is>
      </c>
      <c r="E8" s="17" t="inlineStr">
        <is>
          <t>Strategy Breakdown</t>
        </is>
      </c>
    </row>
    <row r="9">
      <c r="A9" s="18" t="inlineStr">
        <is>
          <t>Trade #</t>
        </is>
      </c>
      <c r="B9" s="18" t="inlineStr">
        <is>
          <t>Net P&amp;L</t>
        </is>
      </c>
      <c r="C9" s="18" t="inlineStr">
        <is>
          <t>Cumulative P&amp;L</t>
        </is>
      </c>
      <c r="E9" s="18" t="inlineStr">
        <is>
          <t>Strategy</t>
        </is>
      </c>
      <c r="F9" s="18" t="inlineStr">
        <is>
          <t>Trades</t>
        </is>
      </c>
      <c r="G9" s="18" t="inlineStr">
        <is>
          <t>Wins</t>
        </is>
      </c>
      <c r="H9" s="18" t="inlineStr">
        <is>
          <t>Win Rate</t>
        </is>
      </c>
      <c r="I9" s="18" t="inlineStr">
        <is>
          <t>Total P&amp;L</t>
        </is>
      </c>
      <c r="J9" s="18" t="inlineStr">
        <is>
          <t>Avg P&amp;L</t>
        </is>
      </c>
    </row>
    <row r="10">
      <c r="A10" s="4">
        <f>IF('Trade Log'!A2="","",1)</f>
        <v/>
      </c>
      <c r="B10" s="6">
        <f>IF('Trade Log'!K2="","",'Trade Log'!K2)</f>
        <v/>
      </c>
      <c r="C10" s="6">
        <f>IF(B10="","",B10)</f>
        <v/>
      </c>
      <c r="E10" s="19" t="inlineStr">
        <is>
          <t>Breakout</t>
        </is>
      </c>
      <c r="F10" s="4">
        <f>COUNTIF('Trade Log'!E2:E101,E10)</f>
        <v/>
      </c>
      <c r="G10" s="4">
        <f>COUNTIFS('Trade Log'!E2:E101,E10,'Trade Log'!K2:K101,"&gt;"&amp;0)</f>
        <v/>
      </c>
      <c r="H10" s="20">
        <f>IFERROR(G10/F10,0)</f>
        <v/>
      </c>
      <c r="I10" s="6">
        <f>SUMIF('Trade Log'!E2:E101,E10,'Trade Log'!K2:K101)</f>
        <v/>
      </c>
      <c r="J10" s="6">
        <f>IFERROR(I10/F10,0)</f>
        <v/>
      </c>
    </row>
    <row r="11">
      <c r="A11" s="4">
        <f>IF('Trade Log'!A3="","",2)</f>
        <v/>
      </c>
      <c r="B11" s="6">
        <f>IF('Trade Log'!K3="","",'Trade Log'!K3)</f>
        <v/>
      </c>
      <c r="C11" s="6">
        <f>IF(B11="","",C10+B11)</f>
        <v/>
      </c>
      <c r="E11" s="19" t="inlineStr">
        <is>
          <t>Mean Reversion</t>
        </is>
      </c>
      <c r="F11" s="4">
        <f>COUNTIF('Trade Log'!E2:E101,E11)</f>
        <v/>
      </c>
      <c r="G11" s="4">
        <f>COUNTIFS('Trade Log'!E2:E101,E11,'Trade Log'!K2:K101,"&gt;"&amp;0)</f>
        <v/>
      </c>
      <c r="H11" s="20">
        <f>IFERROR(G11/F11,0)</f>
        <v/>
      </c>
      <c r="I11" s="6">
        <f>SUMIF('Trade Log'!E2:E101,E11,'Trade Log'!K2:K101)</f>
        <v/>
      </c>
      <c r="J11" s="6">
        <f>IFERROR(I11/F11,0)</f>
        <v/>
      </c>
    </row>
    <row r="12">
      <c r="A12" s="4">
        <f>IF('Trade Log'!A4="","",3)</f>
        <v/>
      </c>
      <c r="B12" s="6">
        <f>IF('Trade Log'!K4="","",'Trade Log'!K4)</f>
        <v/>
      </c>
      <c r="C12" s="6">
        <f>IF(B12="","",C11+B12)</f>
        <v/>
      </c>
      <c r="E12" s="19" t="inlineStr">
        <is>
          <t>Momentum</t>
        </is>
      </c>
      <c r="F12" s="4">
        <f>COUNTIF('Trade Log'!E2:E101,E12)</f>
        <v/>
      </c>
      <c r="G12" s="4">
        <f>COUNTIFS('Trade Log'!E2:E101,E12,'Trade Log'!K2:K101,"&gt;"&amp;0)</f>
        <v/>
      </c>
      <c r="H12" s="20">
        <f>IFERROR(G12/F12,0)</f>
        <v/>
      </c>
      <c r="I12" s="6">
        <f>SUMIF('Trade Log'!E2:E101,E12,'Trade Log'!K2:K101)</f>
        <v/>
      </c>
      <c r="J12" s="6">
        <f>IFERROR(I12/F12,0)</f>
        <v/>
      </c>
    </row>
    <row r="13">
      <c r="A13" s="4">
        <f>IF('Trade Log'!A5="","",4)</f>
        <v/>
      </c>
      <c r="B13" s="6">
        <f>IF('Trade Log'!K5="","",'Trade Log'!K5)</f>
        <v/>
      </c>
      <c r="C13" s="6">
        <f>IF(B13="","",C12+B13)</f>
        <v/>
      </c>
      <c r="E13" s="19" t="inlineStr">
        <is>
          <t>Gap &amp; Go</t>
        </is>
      </c>
      <c r="F13" s="4">
        <f>COUNTIF('Trade Log'!E2:E101,E13)</f>
        <v/>
      </c>
      <c r="G13" s="4">
        <f>COUNTIFS('Trade Log'!E2:E101,E13,'Trade Log'!K2:K101,"&gt;"&amp;0)</f>
        <v/>
      </c>
      <c r="H13" s="20">
        <f>IFERROR(G13/F13,0)</f>
        <v/>
      </c>
      <c r="I13" s="6">
        <f>SUMIF('Trade Log'!E2:E101,E13,'Trade Log'!K2:K101)</f>
        <v/>
      </c>
      <c r="J13" s="6">
        <f>IFERROR(I13/F13,0)</f>
        <v/>
      </c>
    </row>
    <row r="14">
      <c r="A14" s="4">
        <f>IF('Trade Log'!A6="","",5)</f>
        <v/>
      </c>
      <c r="B14" s="6">
        <f>IF('Trade Log'!K6="","",'Trade Log'!K6)</f>
        <v/>
      </c>
      <c r="C14" s="6">
        <f>IF(B14="","",C13+B14)</f>
        <v/>
      </c>
      <c r="E14" s="19" t="inlineStr">
        <is>
          <t>Rejection</t>
        </is>
      </c>
      <c r="F14" s="4">
        <f>COUNTIF('Trade Log'!E2:E101,E14)</f>
        <v/>
      </c>
      <c r="G14" s="4">
        <f>COUNTIFS('Trade Log'!E2:E101,E14,'Trade Log'!K2:K101,"&gt;"&amp;0)</f>
        <v/>
      </c>
      <c r="H14" s="20">
        <f>IFERROR(G14/F14,0)</f>
        <v/>
      </c>
      <c r="I14" s="6">
        <f>SUMIF('Trade Log'!E2:E101,E14,'Trade Log'!K2:K101)</f>
        <v/>
      </c>
      <c r="J14" s="6">
        <f>IFERROR(I14/F14,0)</f>
        <v/>
      </c>
    </row>
    <row r="15">
      <c r="A15" s="4">
        <f>IF('Trade Log'!A7="","",6)</f>
        <v/>
      </c>
      <c r="B15" s="6">
        <f>IF('Trade Log'!K7="","",'Trade Log'!K7)</f>
        <v/>
      </c>
      <c r="C15" s="6">
        <f>IF(B15="","",C14+B15)</f>
        <v/>
      </c>
      <c r="E15" s="19" t="inlineStr">
        <is>
          <t>Scalp</t>
        </is>
      </c>
      <c r="F15" s="4">
        <f>COUNTIF('Trade Log'!E2:E101,E15)</f>
        <v/>
      </c>
      <c r="G15" s="4">
        <f>COUNTIFS('Trade Log'!E2:E101,E15,'Trade Log'!K2:K101,"&gt;"&amp;0)</f>
        <v/>
      </c>
      <c r="H15" s="20">
        <f>IFERROR(G15/F15,0)</f>
        <v/>
      </c>
      <c r="I15" s="6">
        <f>SUMIF('Trade Log'!E2:E101,E15,'Trade Log'!K2:K101)</f>
        <v/>
      </c>
      <c r="J15" s="6">
        <f>IFERROR(I15/F15,0)</f>
        <v/>
      </c>
    </row>
    <row r="16">
      <c r="A16" s="4">
        <f>IF('Trade Log'!A8="","",7)</f>
        <v/>
      </c>
      <c r="B16" s="6">
        <f>IF('Trade Log'!K8="","",'Trade Log'!K8)</f>
        <v/>
      </c>
      <c r="C16" s="6">
        <f>IF(B16="","",C15+B16)</f>
        <v/>
      </c>
      <c r="E16" s="19" t="inlineStr">
        <is>
          <t>Swing</t>
        </is>
      </c>
      <c r="F16" s="4">
        <f>COUNTIF('Trade Log'!E2:E101,E16)</f>
        <v/>
      </c>
      <c r="G16" s="4">
        <f>COUNTIFS('Trade Log'!E2:E101,E16,'Trade Log'!K2:K101,"&gt;"&amp;0)</f>
        <v/>
      </c>
      <c r="H16" s="20">
        <f>IFERROR(G16/F16,0)</f>
        <v/>
      </c>
      <c r="I16" s="6">
        <f>SUMIF('Trade Log'!E2:E101,E16,'Trade Log'!K2:K101)</f>
        <v/>
      </c>
      <c r="J16" s="6">
        <f>IFERROR(I16/F16,0)</f>
        <v/>
      </c>
    </row>
    <row r="17">
      <c r="A17" s="4">
        <f>IF('Trade Log'!A9="","",8)</f>
        <v/>
      </c>
      <c r="B17" s="6">
        <f>IF('Trade Log'!K9="","",'Trade Log'!K9)</f>
        <v/>
      </c>
      <c r="C17" s="6">
        <f>IF(B17="","",C16+B17)</f>
        <v/>
      </c>
    </row>
    <row r="18">
      <c r="A18" s="4">
        <f>IF('Trade Log'!A10="","",9)</f>
        <v/>
      </c>
      <c r="B18" s="6">
        <f>IF('Trade Log'!K10="","",'Trade Log'!K10)</f>
        <v/>
      </c>
      <c r="C18" s="6">
        <f>IF(B18="","",C17+B18)</f>
        <v/>
      </c>
    </row>
    <row r="19">
      <c r="A19" s="4">
        <f>IF('Trade Log'!A11="","",10)</f>
        <v/>
      </c>
      <c r="B19" s="6">
        <f>IF('Trade Log'!K11="","",'Trade Log'!K11)</f>
        <v/>
      </c>
      <c r="C19" s="6">
        <f>IF(B19="","",C18+B19)</f>
        <v/>
      </c>
    </row>
    <row r="20">
      <c r="A20" s="4">
        <f>IF('Trade Log'!A12="","",11)</f>
        <v/>
      </c>
      <c r="B20" s="6">
        <f>IF('Trade Log'!K12="","",'Trade Log'!K12)</f>
        <v/>
      </c>
      <c r="C20" s="6">
        <f>IF(B20="","",C19+B20)</f>
        <v/>
      </c>
    </row>
    <row r="21">
      <c r="A21" s="4">
        <f>IF('Trade Log'!A13="","",12)</f>
        <v/>
      </c>
      <c r="B21" s="6">
        <f>IF('Trade Log'!K13="","",'Trade Log'!K13)</f>
        <v/>
      </c>
      <c r="C21" s="6">
        <f>IF(B21="","",C20+B21)</f>
        <v/>
      </c>
    </row>
    <row r="22">
      <c r="A22" s="4">
        <f>IF('Trade Log'!A14="","",13)</f>
        <v/>
      </c>
      <c r="B22" s="6">
        <f>IF('Trade Log'!K14="","",'Trade Log'!K14)</f>
        <v/>
      </c>
      <c r="C22" s="6">
        <f>IF(B22="","",C21+B22)</f>
        <v/>
      </c>
    </row>
    <row r="23">
      <c r="A23" s="4">
        <f>IF('Trade Log'!A15="","",14)</f>
        <v/>
      </c>
      <c r="B23" s="6">
        <f>IF('Trade Log'!K15="","",'Trade Log'!K15)</f>
        <v/>
      </c>
      <c r="C23" s="6">
        <f>IF(B23="","",C22+B23)</f>
        <v/>
      </c>
    </row>
    <row r="24">
      <c r="A24" s="4">
        <f>IF('Trade Log'!A16="","",15)</f>
        <v/>
      </c>
      <c r="B24" s="6">
        <f>IF('Trade Log'!K16="","",'Trade Log'!K16)</f>
        <v/>
      </c>
      <c r="C24" s="6">
        <f>IF(B24="","",C23+B24)</f>
        <v/>
      </c>
    </row>
    <row r="25">
      <c r="A25" s="4">
        <f>IF('Trade Log'!A17="","",16)</f>
        <v/>
      </c>
      <c r="B25" s="6">
        <f>IF('Trade Log'!K17="","",'Trade Log'!K17)</f>
        <v/>
      </c>
      <c r="C25" s="6">
        <f>IF(B25="","",C24+B25)</f>
        <v/>
      </c>
    </row>
    <row r="26">
      <c r="A26" s="4">
        <f>IF('Trade Log'!A18="","",17)</f>
        <v/>
      </c>
      <c r="B26" s="6">
        <f>IF('Trade Log'!K18="","",'Trade Log'!K18)</f>
        <v/>
      </c>
      <c r="C26" s="6">
        <f>IF(B26="","",C25+B26)</f>
        <v/>
      </c>
    </row>
    <row r="27">
      <c r="A27" s="4">
        <f>IF('Trade Log'!A19="","",18)</f>
        <v/>
      </c>
      <c r="B27" s="6">
        <f>IF('Trade Log'!K19="","",'Trade Log'!K19)</f>
        <v/>
      </c>
      <c r="C27" s="6">
        <f>IF(B27="","",C26+B27)</f>
        <v/>
      </c>
    </row>
    <row r="28">
      <c r="A28" s="4">
        <f>IF('Trade Log'!A20="","",19)</f>
        <v/>
      </c>
      <c r="B28" s="6">
        <f>IF('Trade Log'!K20="","",'Trade Log'!K20)</f>
        <v/>
      </c>
      <c r="C28" s="6">
        <f>IF(B28="","",C27+B28)</f>
        <v/>
      </c>
    </row>
    <row r="29">
      <c r="A29" s="4">
        <f>IF('Trade Log'!A21="","",20)</f>
        <v/>
      </c>
      <c r="B29" s="6">
        <f>IF('Trade Log'!K21="","",'Trade Log'!K21)</f>
        <v/>
      </c>
      <c r="C29" s="6">
        <f>IF(B29="","",C28+B29)</f>
        <v/>
      </c>
    </row>
    <row r="30">
      <c r="A30" s="4">
        <f>IF('Trade Log'!A22="","",21)</f>
        <v/>
      </c>
      <c r="B30" s="6">
        <f>IF('Trade Log'!K22="","",'Trade Log'!K22)</f>
        <v/>
      </c>
      <c r="C30" s="6">
        <f>IF(B30="","",C29+B30)</f>
        <v/>
      </c>
    </row>
    <row r="31">
      <c r="A31" s="4">
        <f>IF('Trade Log'!A23="","",22)</f>
        <v/>
      </c>
      <c r="B31" s="6">
        <f>IF('Trade Log'!K23="","",'Trade Log'!K23)</f>
        <v/>
      </c>
      <c r="C31" s="6">
        <f>IF(B31="","",C30+B31)</f>
        <v/>
      </c>
    </row>
    <row r="32">
      <c r="A32" s="4">
        <f>IF('Trade Log'!A24="","",23)</f>
        <v/>
      </c>
      <c r="B32" s="6">
        <f>IF('Trade Log'!K24="","",'Trade Log'!K24)</f>
        <v/>
      </c>
      <c r="C32" s="6">
        <f>IF(B32="","",C31+B32)</f>
        <v/>
      </c>
    </row>
    <row r="33">
      <c r="A33" s="4">
        <f>IF('Trade Log'!A25="","",24)</f>
        <v/>
      </c>
      <c r="B33" s="6">
        <f>IF('Trade Log'!K25="","",'Trade Log'!K25)</f>
        <v/>
      </c>
      <c r="C33" s="6">
        <f>IF(B33="","",C32+B33)</f>
        <v/>
      </c>
    </row>
    <row r="34">
      <c r="A34" s="4">
        <f>IF('Trade Log'!A26="","",25)</f>
        <v/>
      </c>
      <c r="B34" s="6">
        <f>IF('Trade Log'!K26="","",'Trade Log'!K26)</f>
        <v/>
      </c>
      <c r="C34" s="6">
        <f>IF(B34="","",C33+B34)</f>
        <v/>
      </c>
    </row>
    <row r="35">
      <c r="A35" s="4">
        <f>IF('Trade Log'!A27="","",26)</f>
        <v/>
      </c>
      <c r="B35" s="6">
        <f>IF('Trade Log'!K27="","",'Trade Log'!K27)</f>
        <v/>
      </c>
      <c r="C35" s="6">
        <f>IF(B35="","",C34+B35)</f>
        <v/>
      </c>
    </row>
    <row r="36">
      <c r="A36" s="4">
        <f>IF('Trade Log'!A28="","",27)</f>
        <v/>
      </c>
      <c r="B36" s="6">
        <f>IF('Trade Log'!K28="","",'Trade Log'!K28)</f>
        <v/>
      </c>
      <c r="C36" s="6">
        <f>IF(B36="","",C35+B36)</f>
        <v/>
      </c>
    </row>
    <row r="37">
      <c r="A37" s="4">
        <f>IF('Trade Log'!A29="","",28)</f>
        <v/>
      </c>
      <c r="B37" s="6">
        <f>IF('Trade Log'!K29="","",'Trade Log'!K29)</f>
        <v/>
      </c>
      <c r="C37" s="6">
        <f>IF(B37="","",C36+B37)</f>
        <v/>
      </c>
    </row>
    <row r="38">
      <c r="A38" s="4">
        <f>IF('Trade Log'!A30="","",29)</f>
        <v/>
      </c>
      <c r="B38" s="6">
        <f>IF('Trade Log'!K30="","",'Trade Log'!K30)</f>
        <v/>
      </c>
      <c r="C38" s="6">
        <f>IF(B38="","",C37+B38)</f>
        <v/>
      </c>
    </row>
    <row r="39">
      <c r="A39" s="4">
        <f>IF('Trade Log'!A31="","",30)</f>
        <v/>
      </c>
      <c r="B39" s="6">
        <f>IF('Trade Log'!K31="","",'Trade Log'!K31)</f>
        <v/>
      </c>
      <c r="C39" s="6">
        <f>IF(B39="","",C38+B39)</f>
        <v/>
      </c>
    </row>
    <row r="40">
      <c r="A40" s="4">
        <f>IF('Trade Log'!A32="","",31)</f>
        <v/>
      </c>
      <c r="B40" s="6">
        <f>IF('Trade Log'!K32="","",'Trade Log'!K32)</f>
        <v/>
      </c>
      <c r="C40" s="6">
        <f>IF(B40="","",C39+B40)</f>
        <v/>
      </c>
    </row>
    <row r="41">
      <c r="A41" s="4">
        <f>IF('Trade Log'!A33="","",32)</f>
        <v/>
      </c>
      <c r="B41" s="6">
        <f>IF('Trade Log'!K33="","",'Trade Log'!K33)</f>
        <v/>
      </c>
      <c r="C41" s="6">
        <f>IF(B41="","",C40+B41)</f>
        <v/>
      </c>
    </row>
    <row r="42">
      <c r="A42" s="4">
        <f>IF('Trade Log'!A34="","",33)</f>
        <v/>
      </c>
      <c r="B42" s="6">
        <f>IF('Trade Log'!K34="","",'Trade Log'!K34)</f>
        <v/>
      </c>
      <c r="C42" s="6">
        <f>IF(B42="","",C41+B42)</f>
        <v/>
      </c>
    </row>
    <row r="43">
      <c r="A43" s="4">
        <f>IF('Trade Log'!A35="","",34)</f>
        <v/>
      </c>
      <c r="B43" s="6">
        <f>IF('Trade Log'!K35="","",'Trade Log'!K35)</f>
        <v/>
      </c>
      <c r="C43" s="6">
        <f>IF(B43="","",C42+B43)</f>
        <v/>
      </c>
    </row>
    <row r="44">
      <c r="A44" s="4">
        <f>IF('Trade Log'!A36="","",35)</f>
        <v/>
      </c>
      <c r="B44" s="6">
        <f>IF('Trade Log'!K36="","",'Trade Log'!K36)</f>
        <v/>
      </c>
      <c r="C44" s="6">
        <f>IF(B44="","",C43+B44)</f>
        <v/>
      </c>
    </row>
    <row r="45">
      <c r="A45" s="4">
        <f>IF('Trade Log'!A37="","",36)</f>
        <v/>
      </c>
      <c r="B45" s="6">
        <f>IF('Trade Log'!K37="","",'Trade Log'!K37)</f>
        <v/>
      </c>
      <c r="C45" s="6">
        <f>IF(B45="","",C44+B45)</f>
        <v/>
      </c>
    </row>
    <row r="46">
      <c r="A46" s="4">
        <f>IF('Trade Log'!A38="","",37)</f>
        <v/>
      </c>
      <c r="B46" s="6">
        <f>IF('Trade Log'!K38="","",'Trade Log'!K38)</f>
        <v/>
      </c>
      <c r="C46" s="6">
        <f>IF(B46="","",C45+B46)</f>
        <v/>
      </c>
    </row>
    <row r="47">
      <c r="A47" s="4">
        <f>IF('Trade Log'!A39="","",38)</f>
        <v/>
      </c>
      <c r="B47" s="6">
        <f>IF('Trade Log'!K39="","",'Trade Log'!K39)</f>
        <v/>
      </c>
      <c r="C47" s="6">
        <f>IF(B47="","",C46+B47)</f>
        <v/>
      </c>
    </row>
    <row r="48">
      <c r="A48" s="4">
        <f>IF('Trade Log'!A40="","",39)</f>
        <v/>
      </c>
      <c r="B48" s="6">
        <f>IF('Trade Log'!K40="","",'Trade Log'!K40)</f>
        <v/>
      </c>
      <c r="C48" s="6">
        <f>IF(B48="","",C47+B48)</f>
        <v/>
      </c>
    </row>
    <row r="49">
      <c r="A49" s="4">
        <f>IF('Trade Log'!A41="","",40)</f>
        <v/>
      </c>
      <c r="B49" s="6">
        <f>IF('Trade Log'!K41="","",'Trade Log'!K41)</f>
        <v/>
      </c>
      <c r="C49" s="6">
        <f>IF(B49="","",C48+B49)</f>
        <v/>
      </c>
    </row>
    <row r="50">
      <c r="A50" s="4">
        <f>IF('Trade Log'!A42="","",41)</f>
        <v/>
      </c>
      <c r="B50" s="6">
        <f>IF('Trade Log'!K42="","",'Trade Log'!K42)</f>
        <v/>
      </c>
      <c r="C50" s="6">
        <f>IF(B50="","",C49+B50)</f>
        <v/>
      </c>
    </row>
    <row r="51">
      <c r="A51" s="4">
        <f>IF('Trade Log'!A43="","",42)</f>
        <v/>
      </c>
      <c r="B51" s="6">
        <f>IF('Trade Log'!K43="","",'Trade Log'!K43)</f>
        <v/>
      </c>
      <c r="C51" s="6">
        <f>IF(B51="","",C50+B51)</f>
        <v/>
      </c>
    </row>
    <row r="52">
      <c r="A52" s="4">
        <f>IF('Trade Log'!A44="","",43)</f>
        <v/>
      </c>
      <c r="B52" s="6">
        <f>IF('Trade Log'!K44="","",'Trade Log'!K44)</f>
        <v/>
      </c>
      <c r="C52" s="6">
        <f>IF(B52="","",C51+B52)</f>
        <v/>
      </c>
    </row>
    <row r="53">
      <c r="A53" s="4">
        <f>IF('Trade Log'!A45="","",44)</f>
        <v/>
      </c>
      <c r="B53" s="6">
        <f>IF('Trade Log'!K45="","",'Trade Log'!K45)</f>
        <v/>
      </c>
      <c r="C53" s="6">
        <f>IF(B53="","",C52+B53)</f>
        <v/>
      </c>
    </row>
    <row r="54">
      <c r="A54" s="4">
        <f>IF('Trade Log'!A46="","",45)</f>
        <v/>
      </c>
      <c r="B54" s="6">
        <f>IF('Trade Log'!K46="","",'Trade Log'!K46)</f>
        <v/>
      </c>
      <c r="C54" s="6">
        <f>IF(B54="","",C53+B54)</f>
        <v/>
      </c>
    </row>
    <row r="55">
      <c r="A55" s="4">
        <f>IF('Trade Log'!A47="","",46)</f>
        <v/>
      </c>
      <c r="B55" s="6">
        <f>IF('Trade Log'!K47="","",'Trade Log'!K47)</f>
        <v/>
      </c>
      <c r="C55" s="6">
        <f>IF(B55="","",C54+B55)</f>
        <v/>
      </c>
    </row>
    <row r="56">
      <c r="A56" s="4">
        <f>IF('Trade Log'!A48="","",47)</f>
        <v/>
      </c>
      <c r="B56" s="6">
        <f>IF('Trade Log'!K48="","",'Trade Log'!K48)</f>
        <v/>
      </c>
      <c r="C56" s="6">
        <f>IF(B56="","",C55+B56)</f>
        <v/>
      </c>
    </row>
    <row r="57">
      <c r="A57" s="4">
        <f>IF('Trade Log'!A49="","",48)</f>
        <v/>
      </c>
      <c r="B57" s="6">
        <f>IF('Trade Log'!K49="","",'Trade Log'!K49)</f>
        <v/>
      </c>
      <c r="C57" s="6">
        <f>IF(B57="","",C56+B57)</f>
        <v/>
      </c>
    </row>
    <row r="58">
      <c r="A58" s="4">
        <f>IF('Trade Log'!A50="","",49)</f>
        <v/>
      </c>
      <c r="B58" s="6">
        <f>IF('Trade Log'!K50="","",'Trade Log'!K50)</f>
        <v/>
      </c>
      <c r="C58" s="6">
        <f>IF(B58="","",C57+B58)</f>
        <v/>
      </c>
    </row>
    <row r="59">
      <c r="A59" s="4">
        <f>IF('Trade Log'!A51="","",50)</f>
        <v/>
      </c>
      <c r="B59" s="6">
        <f>IF('Trade Log'!K51="","",'Trade Log'!K51)</f>
        <v/>
      </c>
      <c r="C59" s="6">
        <f>IF(B59="","",C58+B59)</f>
        <v/>
      </c>
    </row>
    <row r="60">
      <c r="A60" s="4">
        <f>IF('Trade Log'!A52="","",51)</f>
        <v/>
      </c>
      <c r="B60" s="6">
        <f>IF('Trade Log'!K52="","",'Trade Log'!K52)</f>
        <v/>
      </c>
      <c r="C60" s="6">
        <f>IF(B60="","",C59+B60)</f>
        <v/>
      </c>
    </row>
    <row r="61">
      <c r="A61" s="4">
        <f>IF('Trade Log'!A53="","",52)</f>
        <v/>
      </c>
      <c r="B61" s="6">
        <f>IF('Trade Log'!K53="","",'Trade Log'!K53)</f>
        <v/>
      </c>
      <c r="C61" s="6">
        <f>IF(B61="","",C60+B61)</f>
        <v/>
      </c>
    </row>
    <row r="62">
      <c r="A62" s="4">
        <f>IF('Trade Log'!A54="","",53)</f>
        <v/>
      </c>
      <c r="B62" s="6">
        <f>IF('Trade Log'!K54="","",'Trade Log'!K54)</f>
        <v/>
      </c>
      <c r="C62" s="6">
        <f>IF(B62="","",C61+B62)</f>
        <v/>
      </c>
    </row>
    <row r="63">
      <c r="A63" s="4">
        <f>IF('Trade Log'!A55="","",54)</f>
        <v/>
      </c>
      <c r="B63" s="6">
        <f>IF('Trade Log'!K55="","",'Trade Log'!K55)</f>
        <v/>
      </c>
      <c r="C63" s="6">
        <f>IF(B63="","",C62+B63)</f>
        <v/>
      </c>
    </row>
    <row r="64">
      <c r="A64" s="4">
        <f>IF('Trade Log'!A56="","",55)</f>
        <v/>
      </c>
      <c r="B64" s="6">
        <f>IF('Trade Log'!K56="","",'Trade Log'!K56)</f>
        <v/>
      </c>
      <c r="C64" s="6">
        <f>IF(B64="","",C63+B64)</f>
        <v/>
      </c>
    </row>
    <row r="65">
      <c r="A65" s="4">
        <f>IF('Trade Log'!A57="","",56)</f>
        <v/>
      </c>
      <c r="B65" s="6">
        <f>IF('Trade Log'!K57="","",'Trade Log'!K57)</f>
        <v/>
      </c>
      <c r="C65" s="6">
        <f>IF(B65="","",C64+B65)</f>
        <v/>
      </c>
    </row>
    <row r="66">
      <c r="A66" s="4">
        <f>IF('Trade Log'!A58="","",57)</f>
        <v/>
      </c>
      <c r="B66" s="6">
        <f>IF('Trade Log'!K58="","",'Trade Log'!K58)</f>
        <v/>
      </c>
      <c r="C66" s="6">
        <f>IF(B66="","",C65+B66)</f>
        <v/>
      </c>
    </row>
    <row r="67">
      <c r="A67" s="4">
        <f>IF('Trade Log'!A59="","",58)</f>
        <v/>
      </c>
      <c r="B67" s="6">
        <f>IF('Trade Log'!K59="","",'Trade Log'!K59)</f>
        <v/>
      </c>
      <c r="C67" s="6">
        <f>IF(B67="","",C66+B67)</f>
        <v/>
      </c>
    </row>
    <row r="68">
      <c r="A68" s="4">
        <f>IF('Trade Log'!A60="","",59)</f>
        <v/>
      </c>
      <c r="B68" s="6">
        <f>IF('Trade Log'!K60="","",'Trade Log'!K60)</f>
        <v/>
      </c>
      <c r="C68" s="6">
        <f>IF(B68="","",C67+B68)</f>
        <v/>
      </c>
    </row>
    <row r="69">
      <c r="A69" s="4">
        <f>IF('Trade Log'!A61="","",60)</f>
        <v/>
      </c>
      <c r="B69" s="6">
        <f>IF('Trade Log'!K61="","",'Trade Log'!K61)</f>
        <v/>
      </c>
      <c r="C69" s="6">
        <f>IF(B69="","",C68+B69)</f>
        <v/>
      </c>
    </row>
    <row r="70">
      <c r="A70" s="4">
        <f>IF('Trade Log'!A62="","",61)</f>
        <v/>
      </c>
      <c r="B70" s="6">
        <f>IF('Trade Log'!K62="","",'Trade Log'!K62)</f>
        <v/>
      </c>
      <c r="C70" s="6">
        <f>IF(B70="","",C69+B70)</f>
        <v/>
      </c>
    </row>
    <row r="71">
      <c r="A71" s="4">
        <f>IF('Trade Log'!A63="","",62)</f>
        <v/>
      </c>
      <c r="B71" s="6">
        <f>IF('Trade Log'!K63="","",'Trade Log'!K63)</f>
        <v/>
      </c>
      <c r="C71" s="6">
        <f>IF(B71="","",C70+B71)</f>
        <v/>
      </c>
    </row>
    <row r="72">
      <c r="A72" s="4">
        <f>IF('Trade Log'!A64="","",63)</f>
        <v/>
      </c>
      <c r="B72" s="6">
        <f>IF('Trade Log'!K64="","",'Trade Log'!K64)</f>
        <v/>
      </c>
      <c r="C72" s="6">
        <f>IF(B72="","",C71+B72)</f>
        <v/>
      </c>
    </row>
    <row r="73">
      <c r="A73" s="4">
        <f>IF('Trade Log'!A65="","",64)</f>
        <v/>
      </c>
      <c r="B73" s="6">
        <f>IF('Trade Log'!K65="","",'Trade Log'!K65)</f>
        <v/>
      </c>
      <c r="C73" s="6">
        <f>IF(B73="","",C72+B73)</f>
        <v/>
      </c>
    </row>
    <row r="74">
      <c r="A74" s="4">
        <f>IF('Trade Log'!A66="","",65)</f>
        <v/>
      </c>
      <c r="B74" s="6">
        <f>IF('Trade Log'!K66="","",'Trade Log'!K66)</f>
        <v/>
      </c>
      <c r="C74" s="6">
        <f>IF(B74="","",C73+B74)</f>
        <v/>
      </c>
    </row>
    <row r="75">
      <c r="A75" s="4">
        <f>IF('Trade Log'!A67="","",66)</f>
        <v/>
      </c>
      <c r="B75" s="6">
        <f>IF('Trade Log'!K67="","",'Trade Log'!K67)</f>
        <v/>
      </c>
      <c r="C75" s="6">
        <f>IF(B75="","",C74+B75)</f>
        <v/>
      </c>
    </row>
    <row r="76">
      <c r="A76" s="4">
        <f>IF('Trade Log'!A68="","",67)</f>
        <v/>
      </c>
      <c r="B76" s="6">
        <f>IF('Trade Log'!K68="","",'Trade Log'!K68)</f>
        <v/>
      </c>
      <c r="C76" s="6">
        <f>IF(B76="","",C75+B76)</f>
        <v/>
      </c>
    </row>
    <row r="77">
      <c r="A77" s="4">
        <f>IF('Trade Log'!A69="","",68)</f>
        <v/>
      </c>
      <c r="B77" s="6">
        <f>IF('Trade Log'!K69="","",'Trade Log'!K69)</f>
        <v/>
      </c>
      <c r="C77" s="6">
        <f>IF(B77="","",C76+B77)</f>
        <v/>
      </c>
    </row>
    <row r="78">
      <c r="A78" s="4">
        <f>IF('Trade Log'!A70="","",69)</f>
        <v/>
      </c>
      <c r="B78" s="6">
        <f>IF('Trade Log'!K70="","",'Trade Log'!K70)</f>
        <v/>
      </c>
      <c r="C78" s="6">
        <f>IF(B78="","",C77+B78)</f>
        <v/>
      </c>
    </row>
    <row r="79">
      <c r="A79" s="4">
        <f>IF('Trade Log'!A71="","",70)</f>
        <v/>
      </c>
      <c r="B79" s="6">
        <f>IF('Trade Log'!K71="","",'Trade Log'!K71)</f>
        <v/>
      </c>
      <c r="C79" s="6">
        <f>IF(B79="","",C78+B79)</f>
        <v/>
      </c>
    </row>
    <row r="80">
      <c r="A80" s="4">
        <f>IF('Trade Log'!A72="","",71)</f>
        <v/>
      </c>
      <c r="B80" s="6">
        <f>IF('Trade Log'!K72="","",'Trade Log'!K72)</f>
        <v/>
      </c>
      <c r="C80" s="6">
        <f>IF(B80="","",C79+B80)</f>
        <v/>
      </c>
    </row>
    <row r="81">
      <c r="A81" s="4">
        <f>IF('Trade Log'!A73="","",72)</f>
        <v/>
      </c>
      <c r="B81" s="6">
        <f>IF('Trade Log'!K73="","",'Trade Log'!K73)</f>
        <v/>
      </c>
      <c r="C81" s="6">
        <f>IF(B81="","",C80+B81)</f>
        <v/>
      </c>
    </row>
    <row r="82">
      <c r="A82" s="4">
        <f>IF('Trade Log'!A74="","",73)</f>
        <v/>
      </c>
      <c r="B82" s="6">
        <f>IF('Trade Log'!K74="","",'Trade Log'!K74)</f>
        <v/>
      </c>
      <c r="C82" s="6">
        <f>IF(B82="","",C81+B82)</f>
        <v/>
      </c>
    </row>
    <row r="83">
      <c r="A83" s="4">
        <f>IF('Trade Log'!A75="","",74)</f>
        <v/>
      </c>
      <c r="B83" s="6">
        <f>IF('Trade Log'!K75="","",'Trade Log'!K75)</f>
        <v/>
      </c>
      <c r="C83" s="6">
        <f>IF(B83="","",C82+B83)</f>
        <v/>
      </c>
    </row>
    <row r="84">
      <c r="A84" s="4">
        <f>IF('Trade Log'!A76="","",75)</f>
        <v/>
      </c>
      <c r="B84" s="6">
        <f>IF('Trade Log'!K76="","",'Trade Log'!K76)</f>
        <v/>
      </c>
      <c r="C84" s="6">
        <f>IF(B84="","",C83+B84)</f>
        <v/>
      </c>
    </row>
    <row r="85">
      <c r="A85" s="4">
        <f>IF('Trade Log'!A77="","",76)</f>
        <v/>
      </c>
      <c r="B85" s="6">
        <f>IF('Trade Log'!K77="","",'Trade Log'!K77)</f>
        <v/>
      </c>
      <c r="C85" s="6">
        <f>IF(B85="","",C84+B85)</f>
        <v/>
      </c>
    </row>
    <row r="86">
      <c r="A86" s="4">
        <f>IF('Trade Log'!A78="","",77)</f>
        <v/>
      </c>
      <c r="B86" s="6">
        <f>IF('Trade Log'!K78="","",'Trade Log'!K78)</f>
        <v/>
      </c>
      <c r="C86" s="6">
        <f>IF(B86="","",C85+B86)</f>
        <v/>
      </c>
    </row>
    <row r="87">
      <c r="A87" s="4">
        <f>IF('Trade Log'!A79="","",78)</f>
        <v/>
      </c>
      <c r="B87" s="6">
        <f>IF('Trade Log'!K79="","",'Trade Log'!K79)</f>
        <v/>
      </c>
      <c r="C87" s="6">
        <f>IF(B87="","",C86+B87)</f>
        <v/>
      </c>
    </row>
    <row r="88">
      <c r="A88" s="4">
        <f>IF('Trade Log'!A80="","",79)</f>
        <v/>
      </c>
      <c r="B88" s="6">
        <f>IF('Trade Log'!K80="","",'Trade Log'!K80)</f>
        <v/>
      </c>
      <c r="C88" s="6">
        <f>IF(B88="","",C87+B88)</f>
        <v/>
      </c>
    </row>
    <row r="89">
      <c r="A89" s="4">
        <f>IF('Trade Log'!A81="","",80)</f>
        <v/>
      </c>
      <c r="B89" s="6">
        <f>IF('Trade Log'!K81="","",'Trade Log'!K81)</f>
        <v/>
      </c>
      <c r="C89" s="6">
        <f>IF(B89="","",C88+B89)</f>
        <v/>
      </c>
    </row>
    <row r="90">
      <c r="A90" s="4">
        <f>IF('Trade Log'!A82="","",81)</f>
        <v/>
      </c>
      <c r="B90" s="6">
        <f>IF('Trade Log'!K82="","",'Trade Log'!K82)</f>
        <v/>
      </c>
      <c r="C90" s="6">
        <f>IF(B90="","",C89+B90)</f>
        <v/>
      </c>
    </row>
    <row r="91">
      <c r="A91" s="4">
        <f>IF('Trade Log'!A83="","",82)</f>
        <v/>
      </c>
      <c r="B91" s="6">
        <f>IF('Trade Log'!K83="","",'Trade Log'!K83)</f>
        <v/>
      </c>
      <c r="C91" s="6">
        <f>IF(B91="","",C90+B91)</f>
        <v/>
      </c>
    </row>
    <row r="92">
      <c r="A92" s="4">
        <f>IF('Trade Log'!A84="","",83)</f>
        <v/>
      </c>
      <c r="B92" s="6">
        <f>IF('Trade Log'!K84="","",'Trade Log'!K84)</f>
        <v/>
      </c>
      <c r="C92" s="6">
        <f>IF(B92="","",C91+B92)</f>
        <v/>
      </c>
    </row>
    <row r="93">
      <c r="A93" s="4">
        <f>IF('Trade Log'!A85="","",84)</f>
        <v/>
      </c>
      <c r="B93" s="6">
        <f>IF('Trade Log'!K85="","",'Trade Log'!K85)</f>
        <v/>
      </c>
      <c r="C93" s="6">
        <f>IF(B93="","",C92+B93)</f>
        <v/>
      </c>
    </row>
    <row r="94">
      <c r="A94" s="4">
        <f>IF('Trade Log'!A86="","",85)</f>
        <v/>
      </c>
      <c r="B94" s="6">
        <f>IF('Trade Log'!K86="","",'Trade Log'!K86)</f>
        <v/>
      </c>
      <c r="C94" s="6">
        <f>IF(B94="","",C93+B94)</f>
        <v/>
      </c>
    </row>
    <row r="95">
      <c r="A95" s="4">
        <f>IF('Trade Log'!A87="","",86)</f>
        <v/>
      </c>
      <c r="B95" s="6">
        <f>IF('Trade Log'!K87="","",'Trade Log'!K87)</f>
        <v/>
      </c>
      <c r="C95" s="6">
        <f>IF(B95="","",C94+B95)</f>
        <v/>
      </c>
    </row>
    <row r="96">
      <c r="A96" s="4">
        <f>IF('Trade Log'!A88="","",87)</f>
        <v/>
      </c>
      <c r="B96" s="6">
        <f>IF('Trade Log'!K88="","",'Trade Log'!K88)</f>
        <v/>
      </c>
      <c r="C96" s="6">
        <f>IF(B96="","",C95+B96)</f>
        <v/>
      </c>
    </row>
    <row r="97">
      <c r="A97" s="4">
        <f>IF('Trade Log'!A89="","",88)</f>
        <v/>
      </c>
      <c r="B97" s="6">
        <f>IF('Trade Log'!K89="","",'Trade Log'!K89)</f>
        <v/>
      </c>
      <c r="C97" s="6">
        <f>IF(B97="","",C96+B97)</f>
        <v/>
      </c>
    </row>
    <row r="98">
      <c r="A98" s="4">
        <f>IF('Trade Log'!A90="","",89)</f>
        <v/>
      </c>
      <c r="B98" s="6">
        <f>IF('Trade Log'!K90="","",'Trade Log'!K90)</f>
        <v/>
      </c>
      <c r="C98" s="6">
        <f>IF(B98="","",C97+B98)</f>
        <v/>
      </c>
    </row>
    <row r="99">
      <c r="A99" s="4">
        <f>IF('Trade Log'!A91="","",90)</f>
        <v/>
      </c>
      <c r="B99" s="6">
        <f>IF('Trade Log'!K91="","",'Trade Log'!K91)</f>
        <v/>
      </c>
      <c r="C99" s="6">
        <f>IF(B99="","",C98+B99)</f>
        <v/>
      </c>
    </row>
    <row r="100">
      <c r="A100" s="4">
        <f>IF('Trade Log'!A92="","",91)</f>
        <v/>
      </c>
      <c r="B100" s="6">
        <f>IF('Trade Log'!K92="","",'Trade Log'!K92)</f>
        <v/>
      </c>
      <c r="C100" s="6">
        <f>IF(B100="","",C99+B100)</f>
        <v/>
      </c>
    </row>
    <row r="101">
      <c r="A101" s="4">
        <f>IF('Trade Log'!A93="","",92)</f>
        <v/>
      </c>
      <c r="B101" s="6">
        <f>IF('Trade Log'!K93="","",'Trade Log'!K93)</f>
        <v/>
      </c>
      <c r="C101" s="6">
        <f>IF(B101="","",C100+B101)</f>
        <v/>
      </c>
    </row>
    <row r="102">
      <c r="A102" s="4">
        <f>IF('Trade Log'!A94="","",93)</f>
        <v/>
      </c>
      <c r="B102" s="6">
        <f>IF('Trade Log'!K94="","",'Trade Log'!K94)</f>
        <v/>
      </c>
      <c r="C102" s="6">
        <f>IF(B102="","",C101+B102)</f>
        <v/>
      </c>
    </row>
    <row r="103">
      <c r="A103" s="4">
        <f>IF('Trade Log'!A95="","",94)</f>
        <v/>
      </c>
      <c r="B103" s="6">
        <f>IF('Trade Log'!K95="","",'Trade Log'!K95)</f>
        <v/>
      </c>
      <c r="C103" s="6">
        <f>IF(B103="","",C102+B103)</f>
        <v/>
      </c>
    </row>
    <row r="104">
      <c r="A104" s="4">
        <f>IF('Trade Log'!A96="","",95)</f>
        <v/>
      </c>
      <c r="B104" s="6">
        <f>IF('Trade Log'!K96="","",'Trade Log'!K96)</f>
        <v/>
      </c>
      <c r="C104" s="6">
        <f>IF(B104="","",C103+B104)</f>
        <v/>
      </c>
    </row>
    <row r="105">
      <c r="A105" s="4">
        <f>IF('Trade Log'!A97="","",96)</f>
        <v/>
      </c>
      <c r="B105" s="6">
        <f>IF('Trade Log'!K97="","",'Trade Log'!K97)</f>
        <v/>
      </c>
      <c r="C105" s="6">
        <f>IF(B105="","",C104+B105)</f>
        <v/>
      </c>
    </row>
    <row r="106">
      <c r="A106" s="4">
        <f>IF('Trade Log'!A98="","",97)</f>
        <v/>
      </c>
      <c r="B106" s="6">
        <f>IF('Trade Log'!K98="","",'Trade Log'!K98)</f>
        <v/>
      </c>
      <c r="C106" s="6">
        <f>IF(B106="","",C105+B106)</f>
        <v/>
      </c>
    </row>
    <row r="107">
      <c r="A107" s="4">
        <f>IF('Trade Log'!A99="","",98)</f>
        <v/>
      </c>
      <c r="B107" s="6">
        <f>IF('Trade Log'!K99="","",'Trade Log'!K99)</f>
        <v/>
      </c>
      <c r="C107" s="6">
        <f>IF(B107="","",C106+B107)</f>
        <v/>
      </c>
    </row>
    <row r="108">
      <c r="A108" s="4">
        <f>IF('Trade Log'!A100="","",99)</f>
        <v/>
      </c>
      <c r="B108" s="6">
        <f>IF('Trade Log'!K100="","",'Trade Log'!K100)</f>
        <v/>
      </c>
      <c r="C108" s="6">
        <f>IF(B108="","",C107+B108)</f>
        <v/>
      </c>
    </row>
    <row r="109">
      <c r="A109" s="4">
        <f>IF('Trade Log'!A101="","",100)</f>
        <v/>
      </c>
      <c r="B109" s="6">
        <f>IF('Trade Log'!K101="","",'Trade Log'!K101)</f>
        <v/>
      </c>
      <c r="C109" s="6">
        <f>IF(B109="","",C108+B109)</f>
        <v/>
      </c>
    </row>
  </sheetData>
  <mergeCells count="16">
    <mergeCell ref="A4:B4"/>
    <mergeCell ref="G4:H4"/>
    <mergeCell ref="E4:F4"/>
    <mergeCell ref="I4:J4"/>
    <mergeCell ref="O5:P5"/>
    <mergeCell ref="C5:D5"/>
    <mergeCell ref="A5:B5"/>
    <mergeCell ref="G5:H5"/>
    <mergeCell ref="E5:F5"/>
    <mergeCell ref="K5:L5"/>
    <mergeCell ref="I5:J5"/>
    <mergeCell ref="M5:N5"/>
    <mergeCell ref="K4:L4"/>
    <mergeCell ref="O4:P4"/>
    <mergeCell ref="M4:N4"/>
    <mergeCell ref="C4:D4"/>
  </mergeCells>
  <conditionalFormatting sqref="C10:C109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C6C3E"/>
    <outlinePr summaryBelow="1" summaryRight="1"/>
    <pageSetUpPr/>
  </sheetPr>
  <dimension ref="A1:I10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4" customWidth="1" min="3" max="3"/>
    <col width="10" customWidth="1" min="4" max="4"/>
    <col width="14" customWidth="1" min="5" max="5"/>
    <col width="30" customWidth="1" min="6" max="6"/>
    <col width="30" customWidth="1" min="7" max="7"/>
    <col width="12" customWidth="1" min="8" max="8"/>
    <col width="12" customWidth="1" min="9" max="9"/>
  </cols>
  <sheetData>
    <row r="1">
      <c r="A1" s="9" t="inlineStr">
        <is>
          <t>Daily Trading Journal</t>
        </is>
      </c>
    </row>
    <row r="2">
      <c r="A2" s="10" t="inlineStr">
        <is>
          <t>Track your mindset, preparation, and daily reflections</t>
        </is>
      </c>
    </row>
    <row r="4">
      <c r="A4" s="1" t="inlineStr">
        <is>
          <t>Date</t>
        </is>
      </c>
      <c r="B4" s="1" t="inlineStr">
        <is>
          <t>Pre-Market Notes</t>
        </is>
      </c>
      <c r="C4" s="1" t="inlineStr">
        <is>
          <t>Market Bias</t>
        </is>
      </c>
      <c r="D4" s="1" t="inlineStr">
        <is>
          <t># Trades</t>
        </is>
      </c>
      <c r="E4" s="1" t="inlineStr">
        <is>
          <t>Daily P&amp;L</t>
        </is>
      </c>
      <c r="F4" s="1" t="inlineStr">
        <is>
          <t>What Went Well</t>
        </is>
      </c>
      <c r="G4" s="1" t="inlineStr">
        <is>
          <t>What To Improve</t>
        </is>
      </c>
      <c r="H4" s="1" t="inlineStr">
        <is>
          <t>Mood (1-5)</t>
        </is>
      </c>
      <c r="I4" s="1" t="inlineStr">
        <is>
          <t>Rating (1-5)</t>
        </is>
      </c>
    </row>
    <row r="5">
      <c r="A5" s="2" t="n">
        <v>46082</v>
      </c>
      <c r="B5" s="8" t="inlineStr">
        <is>
          <t>Watching AAPL breakout level, TSLA earnings reaction</t>
        </is>
      </c>
      <c r="C5" s="4" t="inlineStr">
        <is>
          <t>Bullish</t>
        </is>
      </c>
      <c r="D5" s="4" t="n">
        <v>3</v>
      </c>
      <c r="E5" s="6">
        <f>SUMPRODUCT(('Trade Log'!A2:A101=A5)*('Trade Log'!K2:K101))</f>
        <v/>
      </c>
      <c r="F5" s="8" t="inlineStr">
        <is>
          <t>Stuck to plan on AAPL</t>
        </is>
      </c>
      <c r="G5" s="8" t="inlineStr">
        <is>
          <t>Cut TSLA loss faster</t>
        </is>
      </c>
      <c r="H5" s="4" t="n">
        <v>4</v>
      </c>
      <c r="I5" s="4" t="n">
        <v>3</v>
      </c>
    </row>
    <row r="6">
      <c r="A6" s="2" t="n">
        <v>46083</v>
      </c>
      <c r="B6" s="8" t="inlineStr">
        <is>
          <t>Gap up in SPY, watching for continuation</t>
        </is>
      </c>
      <c r="C6" s="4" t="inlineStr">
        <is>
          <t>Bullish</t>
        </is>
      </c>
      <c r="D6" s="4" t="n">
        <v>2</v>
      </c>
      <c r="E6" s="6">
        <f>SUMPRODUCT(('Trade Log'!A2:A101=A6)*('Trade Log'!K2:K101))</f>
        <v/>
      </c>
      <c r="F6" s="8" t="inlineStr">
        <is>
          <t>Good entry timing on SPY</t>
        </is>
      </c>
      <c r="G6" s="8" t="inlineStr">
        <is>
          <t>Overtraded META setup</t>
        </is>
      </c>
      <c r="H6" s="4" t="n">
        <v>3</v>
      </c>
      <c r="I6" s="4" t="n">
        <v>4</v>
      </c>
    </row>
    <row r="7">
      <c r="A7" s="2" t="n"/>
      <c r="B7" s="8" t="n"/>
      <c r="C7" s="4" t="n"/>
      <c r="D7" s="4" t="n"/>
      <c r="E7" s="6">
        <f>SUMPRODUCT(('Trade Log'!A2:A101=A7)*('Trade Log'!K2:K101))</f>
        <v/>
      </c>
      <c r="F7" s="8" t="n"/>
      <c r="G7" s="8" t="n"/>
      <c r="H7" s="4" t="n"/>
      <c r="I7" s="4" t="n"/>
    </row>
    <row r="8">
      <c r="A8" s="2" t="n"/>
      <c r="B8" s="8" t="n"/>
      <c r="C8" s="4" t="n"/>
      <c r="D8" s="4" t="n"/>
      <c r="E8" s="6">
        <f>SUMPRODUCT(('Trade Log'!A2:A101=A8)*('Trade Log'!K2:K101))</f>
        <v/>
      </c>
      <c r="F8" s="8" t="n"/>
      <c r="G8" s="8" t="n"/>
      <c r="H8" s="4" t="n"/>
      <c r="I8" s="4" t="n"/>
    </row>
    <row r="9">
      <c r="A9" s="2" t="n"/>
      <c r="B9" s="8" t="n"/>
      <c r="C9" s="4" t="n"/>
      <c r="D9" s="4" t="n"/>
      <c r="E9" s="6">
        <f>SUMPRODUCT(('Trade Log'!A2:A101=A9)*('Trade Log'!K2:K101))</f>
        <v/>
      </c>
      <c r="F9" s="8" t="n"/>
      <c r="G9" s="8" t="n"/>
      <c r="H9" s="4" t="n"/>
      <c r="I9" s="4" t="n"/>
    </row>
    <row r="10">
      <c r="A10" s="2" t="n"/>
      <c r="B10" s="8" t="n"/>
      <c r="C10" s="4" t="n"/>
      <c r="D10" s="4" t="n"/>
      <c r="E10" s="6">
        <f>SUMPRODUCT(('Trade Log'!A2:A101=A10)*('Trade Log'!K2:K101))</f>
        <v/>
      </c>
      <c r="F10" s="8" t="n"/>
      <c r="G10" s="8" t="n"/>
      <c r="H10" s="4" t="n"/>
      <c r="I10" s="4" t="n"/>
    </row>
    <row r="11">
      <c r="A11" s="2" t="n"/>
      <c r="B11" s="8" t="n"/>
      <c r="C11" s="4" t="n"/>
      <c r="D11" s="4" t="n"/>
      <c r="E11" s="6">
        <f>SUMPRODUCT(('Trade Log'!A2:A101=A11)*('Trade Log'!K2:K101))</f>
        <v/>
      </c>
      <c r="F11" s="8" t="n"/>
      <c r="G11" s="8" t="n"/>
      <c r="H11" s="4" t="n"/>
      <c r="I11" s="4" t="n"/>
    </row>
    <row r="12">
      <c r="A12" s="2" t="n"/>
      <c r="B12" s="8" t="n"/>
      <c r="C12" s="4" t="n"/>
      <c r="D12" s="4" t="n"/>
      <c r="E12" s="6">
        <f>SUMPRODUCT(('Trade Log'!A2:A101=A12)*('Trade Log'!K2:K101))</f>
        <v/>
      </c>
      <c r="F12" s="8" t="n"/>
      <c r="G12" s="8" t="n"/>
      <c r="H12" s="4" t="n"/>
      <c r="I12" s="4" t="n"/>
    </row>
    <row r="13">
      <c r="A13" s="2" t="n"/>
      <c r="B13" s="8" t="n"/>
      <c r="C13" s="4" t="n"/>
      <c r="D13" s="4" t="n"/>
      <c r="E13" s="6">
        <f>SUMPRODUCT(('Trade Log'!A2:A101=A13)*('Trade Log'!K2:K101))</f>
        <v/>
      </c>
      <c r="F13" s="8" t="n"/>
      <c r="G13" s="8" t="n"/>
      <c r="H13" s="4" t="n"/>
      <c r="I13" s="4" t="n"/>
    </row>
    <row r="14">
      <c r="A14" s="2" t="n"/>
      <c r="B14" s="8" t="n"/>
      <c r="C14" s="4" t="n"/>
      <c r="D14" s="4" t="n"/>
      <c r="E14" s="6">
        <f>SUMPRODUCT(('Trade Log'!A2:A101=A14)*('Trade Log'!K2:K101))</f>
        <v/>
      </c>
      <c r="F14" s="8" t="n"/>
      <c r="G14" s="8" t="n"/>
      <c r="H14" s="4" t="n"/>
      <c r="I14" s="4" t="n"/>
    </row>
    <row r="15">
      <c r="A15" s="2" t="n"/>
      <c r="B15" s="8" t="n"/>
      <c r="C15" s="4" t="n"/>
      <c r="D15" s="4" t="n"/>
      <c r="E15" s="6">
        <f>SUMPRODUCT(('Trade Log'!A2:A101=A15)*('Trade Log'!K2:K101))</f>
        <v/>
      </c>
      <c r="F15" s="8" t="n"/>
      <c r="G15" s="8" t="n"/>
      <c r="H15" s="4" t="n"/>
      <c r="I15" s="4" t="n"/>
    </row>
    <row r="16">
      <c r="A16" s="2" t="n"/>
      <c r="B16" s="8" t="n"/>
      <c r="C16" s="4" t="n"/>
      <c r="D16" s="4" t="n"/>
      <c r="E16" s="6">
        <f>SUMPRODUCT(('Trade Log'!A2:A101=A16)*('Trade Log'!K2:K101))</f>
        <v/>
      </c>
      <c r="F16" s="8" t="n"/>
      <c r="G16" s="8" t="n"/>
      <c r="H16" s="4" t="n"/>
      <c r="I16" s="4" t="n"/>
    </row>
    <row r="17">
      <c r="A17" s="2" t="n"/>
      <c r="B17" s="8" t="n"/>
      <c r="C17" s="4" t="n"/>
      <c r="D17" s="4" t="n"/>
      <c r="E17" s="6">
        <f>SUMPRODUCT(('Trade Log'!A2:A101=A17)*('Trade Log'!K2:K101))</f>
        <v/>
      </c>
      <c r="F17" s="8" t="n"/>
      <c r="G17" s="8" t="n"/>
      <c r="H17" s="4" t="n"/>
      <c r="I17" s="4" t="n"/>
    </row>
    <row r="18">
      <c r="A18" s="2" t="n"/>
      <c r="B18" s="8" t="n"/>
      <c r="C18" s="4" t="n"/>
      <c r="D18" s="4" t="n"/>
      <c r="E18" s="6">
        <f>SUMPRODUCT(('Trade Log'!A2:A101=A18)*('Trade Log'!K2:K101))</f>
        <v/>
      </c>
      <c r="F18" s="8" t="n"/>
      <c r="G18" s="8" t="n"/>
      <c r="H18" s="4" t="n"/>
      <c r="I18" s="4" t="n"/>
    </row>
    <row r="19">
      <c r="A19" s="2" t="n"/>
      <c r="B19" s="8" t="n"/>
      <c r="C19" s="4" t="n"/>
      <c r="D19" s="4" t="n"/>
      <c r="E19" s="6">
        <f>SUMPRODUCT(('Trade Log'!A2:A101=A19)*('Trade Log'!K2:K101))</f>
        <v/>
      </c>
      <c r="F19" s="8" t="n"/>
      <c r="G19" s="8" t="n"/>
      <c r="H19" s="4" t="n"/>
      <c r="I19" s="4" t="n"/>
    </row>
    <row r="20">
      <c r="A20" s="2" t="n"/>
      <c r="B20" s="8" t="n"/>
      <c r="C20" s="4" t="n"/>
      <c r="D20" s="4" t="n"/>
      <c r="E20" s="6">
        <f>SUMPRODUCT(('Trade Log'!A2:A101=A20)*('Trade Log'!K2:K101))</f>
        <v/>
      </c>
      <c r="F20" s="8" t="n"/>
      <c r="G20" s="8" t="n"/>
      <c r="H20" s="4" t="n"/>
      <c r="I20" s="4" t="n"/>
    </row>
    <row r="21">
      <c r="A21" s="2" t="n"/>
      <c r="B21" s="8" t="n"/>
      <c r="C21" s="4" t="n"/>
      <c r="D21" s="4" t="n"/>
      <c r="E21" s="6">
        <f>SUMPRODUCT(('Trade Log'!A2:A101=A21)*('Trade Log'!K2:K101))</f>
        <v/>
      </c>
      <c r="F21" s="8" t="n"/>
      <c r="G21" s="8" t="n"/>
      <c r="H21" s="4" t="n"/>
      <c r="I21" s="4" t="n"/>
    </row>
    <row r="22">
      <c r="A22" s="2" t="n"/>
      <c r="B22" s="8" t="n"/>
      <c r="C22" s="4" t="n"/>
      <c r="D22" s="4" t="n"/>
      <c r="E22" s="6">
        <f>SUMPRODUCT(('Trade Log'!A2:A101=A22)*('Trade Log'!K2:K101))</f>
        <v/>
      </c>
      <c r="F22" s="8" t="n"/>
      <c r="G22" s="8" t="n"/>
      <c r="H22" s="4" t="n"/>
      <c r="I22" s="4" t="n"/>
    </row>
    <row r="23">
      <c r="A23" s="2" t="n"/>
      <c r="B23" s="8" t="n"/>
      <c r="C23" s="4" t="n"/>
      <c r="D23" s="4" t="n"/>
      <c r="E23" s="6">
        <f>SUMPRODUCT(('Trade Log'!A2:A101=A23)*('Trade Log'!K2:K101))</f>
        <v/>
      </c>
      <c r="F23" s="8" t="n"/>
      <c r="G23" s="8" t="n"/>
      <c r="H23" s="4" t="n"/>
      <c r="I23" s="4" t="n"/>
    </row>
    <row r="24">
      <c r="A24" s="2" t="n"/>
      <c r="B24" s="8" t="n"/>
      <c r="C24" s="4" t="n"/>
      <c r="D24" s="4" t="n"/>
      <c r="E24" s="6">
        <f>SUMPRODUCT(('Trade Log'!A2:A101=A24)*('Trade Log'!K2:K101))</f>
        <v/>
      </c>
      <c r="F24" s="8" t="n"/>
      <c r="G24" s="8" t="n"/>
      <c r="H24" s="4" t="n"/>
      <c r="I24" s="4" t="n"/>
    </row>
    <row r="25">
      <c r="A25" s="2" t="n"/>
      <c r="B25" s="8" t="n"/>
      <c r="C25" s="4" t="n"/>
      <c r="D25" s="4" t="n"/>
      <c r="E25" s="6">
        <f>SUMPRODUCT(('Trade Log'!A2:A101=A25)*('Trade Log'!K2:K101))</f>
        <v/>
      </c>
      <c r="F25" s="8" t="n"/>
      <c r="G25" s="8" t="n"/>
      <c r="H25" s="4" t="n"/>
      <c r="I25" s="4" t="n"/>
    </row>
    <row r="26">
      <c r="A26" s="2" t="n"/>
      <c r="B26" s="8" t="n"/>
      <c r="C26" s="4" t="n"/>
      <c r="D26" s="4" t="n"/>
      <c r="E26" s="6">
        <f>SUMPRODUCT(('Trade Log'!A2:A101=A26)*('Trade Log'!K2:K101))</f>
        <v/>
      </c>
      <c r="F26" s="8" t="n"/>
      <c r="G26" s="8" t="n"/>
      <c r="H26" s="4" t="n"/>
      <c r="I26" s="4" t="n"/>
    </row>
    <row r="27">
      <c r="A27" s="2" t="n"/>
      <c r="B27" s="8" t="n"/>
      <c r="C27" s="4" t="n"/>
      <c r="D27" s="4" t="n"/>
      <c r="E27" s="6">
        <f>SUMPRODUCT(('Trade Log'!A2:A101=A27)*('Trade Log'!K2:K101))</f>
        <v/>
      </c>
      <c r="F27" s="8" t="n"/>
      <c r="G27" s="8" t="n"/>
      <c r="H27" s="4" t="n"/>
      <c r="I27" s="4" t="n"/>
    </row>
    <row r="28">
      <c r="A28" s="2" t="n"/>
      <c r="B28" s="8" t="n"/>
      <c r="C28" s="4" t="n"/>
      <c r="D28" s="4" t="n"/>
      <c r="E28" s="6">
        <f>SUMPRODUCT(('Trade Log'!A2:A101=A28)*('Trade Log'!K2:K101))</f>
        <v/>
      </c>
      <c r="F28" s="8" t="n"/>
      <c r="G28" s="8" t="n"/>
      <c r="H28" s="4" t="n"/>
      <c r="I28" s="4" t="n"/>
    </row>
    <row r="29">
      <c r="A29" s="2" t="n"/>
      <c r="B29" s="8" t="n"/>
      <c r="C29" s="4" t="n"/>
      <c r="D29" s="4" t="n"/>
      <c r="E29" s="6">
        <f>SUMPRODUCT(('Trade Log'!A2:A101=A29)*('Trade Log'!K2:K101))</f>
        <v/>
      </c>
      <c r="F29" s="8" t="n"/>
      <c r="G29" s="8" t="n"/>
      <c r="H29" s="4" t="n"/>
      <c r="I29" s="4" t="n"/>
    </row>
    <row r="30">
      <c r="A30" s="2" t="n"/>
      <c r="B30" s="8" t="n"/>
      <c r="C30" s="4" t="n"/>
      <c r="D30" s="4" t="n"/>
      <c r="E30" s="6">
        <f>SUMPRODUCT(('Trade Log'!A2:A101=A30)*('Trade Log'!K2:K101))</f>
        <v/>
      </c>
      <c r="F30" s="8" t="n"/>
      <c r="G30" s="8" t="n"/>
      <c r="H30" s="4" t="n"/>
      <c r="I30" s="4" t="n"/>
    </row>
    <row r="31">
      <c r="A31" s="2" t="n"/>
      <c r="B31" s="8" t="n"/>
      <c r="C31" s="4" t="n"/>
      <c r="D31" s="4" t="n"/>
      <c r="E31" s="6">
        <f>SUMPRODUCT(('Trade Log'!A2:A101=A31)*('Trade Log'!K2:K101))</f>
        <v/>
      </c>
      <c r="F31" s="8" t="n"/>
      <c r="G31" s="8" t="n"/>
      <c r="H31" s="4" t="n"/>
      <c r="I31" s="4" t="n"/>
    </row>
    <row r="32">
      <c r="A32" s="2" t="n"/>
      <c r="B32" s="8" t="n"/>
      <c r="C32" s="4" t="n"/>
      <c r="D32" s="4" t="n"/>
      <c r="E32" s="6">
        <f>SUMPRODUCT(('Trade Log'!A2:A101=A32)*('Trade Log'!K2:K101))</f>
        <v/>
      </c>
      <c r="F32" s="8" t="n"/>
      <c r="G32" s="8" t="n"/>
      <c r="H32" s="4" t="n"/>
      <c r="I32" s="4" t="n"/>
    </row>
    <row r="33">
      <c r="A33" s="2" t="n"/>
      <c r="B33" s="8" t="n"/>
      <c r="C33" s="4" t="n"/>
      <c r="D33" s="4" t="n"/>
      <c r="E33" s="6">
        <f>SUMPRODUCT(('Trade Log'!A2:A101=A33)*('Trade Log'!K2:K101))</f>
        <v/>
      </c>
      <c r="F33" s="8" t="n"/>
      <c r="G33" s="8" t="n"/>
      <c r="H33" s="4" t="n"/>
      <c r="I33" s="4" t="n"/>
    </row>
    <row r="34">
      <c r="A34" s="2" t="n"/>
      <c r="B34" s="8" t="n"/>
      <c r="C34" s="4" t="n"/>
      <c r="D34" s="4" t="n"/>
      <c r="E34" s="6">
        <f>SUMPRODUCT(('Trade Log'!A2:A101=A34)*('Trade Log'!K2:K101))</f>
        <v/>
      </c>
      <c r="F34" s="8" t="n"/>
      <c r="G34" s="8" t="n"/>
      <c r="H34" s="4" t="n"/>
      <c r="I34" s="4" t="n"/>
    </row>
    <row r="35">
      <c r="A35" s="2" t="n"/>
      <c r="B35" s="8" t="n"/>
      <c r="C35" s="4" t="n"/>
      <c r="D35" s="4" t="n"/>
      <c r="E35" s="6">
        <f>SUMPRODUCT(('Trade Log'!A2:A101=A35)*('Trade Log'!K2:K101))</f>
        <v/>
      </c>
      <c r="F35" s="8" t="n"/>
      <c r="G35" s="8" t="n"/>
      <c r="H35" s="4" t="n"/>
      <c r="I35" s="4" t="n"/>
    </row>
    <row r="36">
      <c r="A36" s="2" t="n"/>
      <c r="B36" s="8" t="n"/>
      <c r="C36" s="4" t="n"/>
      <c r="D36" s="4" t="n"/>
      <c r="E36" s="6">
        <f>SUMPRODUCT(('Trade Log'!A2:A101=A36)*('Trade Log'!K2:K101))</f>
        <v/>
      </c>
      <c r="F36" s="8" t="n"/>
      <c r="G36" s="8" t="n"/>
      <c r="H36" s="4" t="n"/>
      <c r="I36" s="4" t="n"/>
    </row>
    <row r="37">
      <c r="A37" s="2" t="n"/>
      <c r="B37" s="8" t="n"/>
      <c r="C37" s="4" t="n"/>
      <c r="D37" s="4" t="n"/>
      <c r="E37" s="6">
        <f>SUMPRODUCT(('Trade Log'!A2:A101=A37)*('Trade Log'!K2:K101))</f>
        <v/>
      </c>
      <c r="F37" s="8" t="n"/>
      <c r="G37" s="8" t="n"/>
      <c r="H37" s="4" t="n"/>
      <c r="I37" s="4" t="n"/>
    </row>
    <row r="38">
      <c r="A38" s="2" t="n"/>
      <c r="B38" s="8" t="n"/>
      <c r="C38" s="4" t="n"/>
      <c r="D38" s="4" t="n"/>
      <c r="E38" s="6">
        <f>SUMPRODUCT(('Trade Log'!A2:A101=A38)*('Trade Log'!K2:K101))</f>
        <v/>
      </c>
      <c r="F38" s="8" t="n"/>
      <c r="G38" s="8" t="n"/>
      <c r="H38" s="4" t="n"/>
      <c r="I38" s="4" t="n"/>
    </row>
    <row r="39">
      <c r="A39" s="2" t="n"/>
      <c r="B39" s="8" t="n"/>
      <c r="C39" s="4" t="n"/>
      <c r="D39" s="4" t="n"/>
      <c r="E39" s="6">
        <f>SUMPRODUCT(('Trade Log'!A2:A101=A39)*('Trade Log'!K2:K101))</f>
        <v/>
      </c>
      <c r="F39" s="8" t="n"/>
      <c r="G39" s="8" t="n"/>
      <c r="H39" s="4" t="n"/>
      <c r="I39" s="4" t="n"/>
    </row>
    <row r="40">
      <c r="A40" s="2" t="n"/>
      <c r="B40" s="8" t="n"/>
      <c r="C40" s="4" t="n"/>
      <c r="D40" s="4" t="n"/>
      <c r="E40" s="6">
        <f>SUMPRODUCT(('Trade Log'!A2:A101=A40)*('Trade Log'!K2:K101))</f>
        <v/>
      </c>
      <c r="F40" s="8" t="n"/>
      <c r="G40" s="8" t="n"/>
      <c r="H40" s="4" t="n"/>
      <c r="I40" s="4" t="n"/>
    </row>
    <row r="41">
      <c r="A41" s="2" t="n"/>
      <c r="B41" s="8" t="n"/>
      <c r="C41" s="4" t="n"/>
      <c r="D41" s="4" t="n"/>
      <c r="E41" s="6">
        <f>SUMPRODUCT(('Trade Log'!A2:A101=A41)*('Trade Log'!K2:K101))</f>
        <v/>
      </c>
      <c r="F41" s="8" t="n"/>
      <c r="G41" s="8" t="n"/>
      <c r="H41" s="4" t="n"/>
      <c r="I41" s="4" t="n"/>
    </row>
    <row r="42">
      <c r="A42" s="2" t="n"/>
      <c r="B42" s="8" t="n"/>
      <c r="C42" s="4" t="n"/>
      <c r="D42" s="4" t="n"/>
      <c r="E42" s="6">
        <f>SUMPRODUCT(('Trade Log'!A2:A101=A42)*('Trade Log'!K2:K101))</f>
        <v/>
      </c>
      <c r="F42" s="8" t="n"/>
      <c r="G42" s="8" t="n"/>
      <c r="H42" s="4" t="n"/>
      <c r="I42" s="4" t="n"/>
    </row>
    <row r="43">
      <c r="A43" s="2" t="n"/>
      <c r="B43" s="8" t="n"/>
      <c r="C43" s="4" t="n"/>
      <c r="D43" s="4" t="n"/>
      <c r="E43" s="6">
        <f>SUMPRODUCT(('Trade Log'!A2:A101=A43)*('Trade Log'!K2:K101))</f>
        <v/>
      </c>
      <c r="F43" s="8" t="n"/>
      <c r="G43" s="8" t="n"/>
      <c r="H43" s="4" t="n"/>
      <c r="I43" s="4" t="n"/>
    </row>
    <row r="44">
      <c r="A44" s="2" t="n"/>
      <c r="B44" s="8" t="n"/>
      <c r="C44" s="4" t="n"/>
      <c r="D44" s="4" t="n"/>
      <c r="E44" s="6">
        <f>SUMPRODUCT(('Trade Log'!A2:A101=A44)*('Trade Log'!K2:K101))</f>
        <v/>
      </c>
      <c r="F44" s="8" t="n"/>
      <c r="G44" s="8" t="n"/>
      <c r="H44" s="4" t="n"/>
      <c r="I44" s="4" t="n"/>
    </row>
    <row r="45">
      <c r="A45" s="2" t="n"/>
      <c r="B45" s="8" t="n"/>
      <c r="C45" s="4" t="n"/>
      <c r="D45" s="4" t="n"/>
      <c r="E45" s="6">
        <f>SUMPRODUCT(('Trade Log'!A2:A101=A45)*('Trade Log'!K2:K101))</f>
        <v/>
      </c>
      <c r="F45" s="8" t="n"/>
      <c r="G45" s="8" t="n"/>
      <c r="H45" s="4" t="n"/>
      <c r="I45" s="4" t="n"/>
    </row>
    <row r="46">
      <c r="A46" s="2" t="n"/>
      <c r="B46" s="8" t="n"/>
      <c r="C46" s="4" t="n"/>
      <c r="D46" s="4" t="n"/>
      <c r="E46" s="6">
        <f>SUMPRODUCT(('Trade Log'!A2:A101=A46)*('Trade Log'!K2:K101))</f>
        <v/>
      </c>
      <c r="F46" s="8" t="n"/>
      <c r="G46" s="8" t="n"/>
      <c r="H46" s="4" t="n"/>
      <c r="I46" s="4" t="n"/>
    </row>
    <row r="47">
      <c r="A47" s="2" t="n"/>
      <c r="B47" s="8" t="n"/>
      <c r="C47" s="4" t="n"/>
      <c r="D47" s="4" t="n"/>
      <c r="E47" s="6">
        <f>SUMPRODUCT(('Trade Log'!A2:A101=A47)*('Trade Log'!K2:K101))</f>
        <v/>
      </c>
      <c r="F47" s="8" t="n"/>
      <c r="G47" s="8" t="n"/>
      <c r="H47" s="4" t="n"/>
      <c r="I47" s="4" t="n"/>
    </row>
    <row r="48">
      <c r="A48" s="2" t="n"/>
      <c r="B48" s="8" t="n"/>
      <c r="C48" s="4" t="n"/>
      <c r="D48" s="4" t="n"/>
      <c r="E48" s="6">
        <f>SUMPRODUCT(('Trade Log'!A2:A101=A48)*('Trade Log'!K2:K101))</f>
        <v/>
      </c>
      <c r="F48" s="8" t="n"/>
      <c r="G48" s="8" t="n"/>
      <c r="H48" s="4" t="n"/>
      <c r="I48" s="4" t="n"/>
    </row>
    <row r="49">
      <c r="A49" s="2" t="n"/>
      <c r="B49" s="8" t="n"/>
      <c r="C49" s="4" t="n"/>
      <c r="D49" s="4" t="n"/>
      <c r="E49" s="6">
        <f>SUMPRODUCT(('Trade Log'!A2:A101=A49)*('Trade Log'!K2:K101))</f>
        <v/>
      </c>
      <c r="F49" s="8" t="n"/>
      <c r="G49" s="8" t="n"/>
      <c r="H49" s="4" t="n"/>
      <c r="I49" s="4" t="n"/>
    </row>
    <row r="50">
      <c r="A50" s="2" t="n"/>
      <c r="B50" s="8" t="n"/>
      <c r="C50" s="4" t="n"/>
      <c r="D50" s="4" t="n"/>
      <c r="E50" s="6">
        <f>SUMPRODUCT(('Trade Log'!A2:A101=A50)*('Trade Log'!K2:K101))</f>
        <v/>
      </c>
      <c r="F50" s="8" t="n"/>
      <c r="G50" s="8" t="n"/>
      <c r="H50" s="4" t="n"/>
      <c r="I50" s="4" t="n"/>
    </row>
    <row r="51">
      <c r="A51" s="2" t="n"/>
      <c r="B51" s="8" t="n"/>
      <c r="C51" s="4" t="n"/>
      <c r="D51" s="4" t="n"/>
      <c r="E51" s="6">
        <f>SUMPRODUCT(('Trade Log'!A2:A101=A51)*('Trade Log'!K2:K101))</f>
        <v/>
      </c>
      <c r="F51" s="8" t="n"/>
      <c r="G51" s="8" t="n"/>
      <c r="H51" s="4" t="n"/>
      <c r="I51" s="4" t="n"/>
    </row>
    <row r="52">
      <c r="A52" s="2" t="n"/>
      <c r="B52" s="8" t="n"/>
      <c r="C52" s="4" t="n"/>
      <c r="D52" s="4" t="n"/>
      <c r="E52" s="6">
        <f>SUMPRODUCT(('Trade Log'!A2:A101=A52)*('Trade Log'!K2:K101))</f>
        <v/>
      </c>
      <c r="F52" s="8" t="n"/>
      <c r="G52" s="8" t="n"/>
      <c r="H52" s="4" t="n"/>
      <c r="I52" s="4" t="n"/>
    </row>
    <row r="53">
      <c r="A53" s="2" t="n"/>
      <c r="B53" s="8" t="n"/>
      <c r="C53" s="4" t="n"/>
      <c r="D53" s="4" t="n"/>
      <c r="E53" s="6">
        <f>SUMPRODUCT(('Trade Log'!A2:A101=A53)*('Trade Log'!K2:K101))</f>
        <v/>
      </c>
      <c r="F53" s="8" t="n"/>
      <c r="G53" s="8" t="n"/>
      <c r="H53" s="4" t="n"/>
      <c r="I53" s="4" t="n"/>
    </row>
    <row r="54">
      <c r="A54" s="2" t="n"/>
      <c r="B54" s="8" t="n"/>
      <c r="C54" s="4" t="n"/>
      <c r="D54" s="4" t="n"/>
      <c r="E54" s="6">
        <f>SUMPRODUCT(('Trade Log'!A2:A101=A54)*('Trade Log'!K2:K101))</f>
        <v/>
      </c>
      <c r="F54" s="8" t="n"/>
      <c r="G54" s="8" t="n"/>
      <c r="H54" s="4" t="n"/>
      <c r="I54" s="4" t="n"/>
    </row>
    <row r="55">
      <c r="A55" s="2" t="n"/>
      <c r="B55" s="8" t="n"/>
      <c r="C55" s="4" t="n"/>
      <c r="D55" s="4" t="n"/>
      <c r="E55" s="6">
        <f>SUMPRODUCT(('Trade Log'!A2:A101=A55)*('Trade Log'!K2:K101))</f>
        <v/>
      </c>
      <c r="F55" s="8" t="n"/>
      <c r="G55" s="8" t="n"/>
      <c r="H55" s="4" t="n"/>
      <c r="I55" s="4" t="n"/>
    </row>
    <row r="56">
      <c r="A56" s="2" t="n"/>
      <c r="B56" s="8" t="n"/>
      <c r="C56" s="4" t="n"/>
      <c r="D56" s="4" t="n"/>
      <c r="E56" s="6">
        <f>SUMPRODUCT(('Trade Log'!A2:A101=A56)*('Trade Log'!K2:K101))</f>
        <v/>
      </c>
      <c r="F56" s="8" t="n"/>
      <c r="G56" s="8" t="n"/>
      <c r="H56" s="4" t="n"/>
      <c r="I56" s="4" t="n"/>
    </row>
    <row r="57">
      <c r="A57" s="2" t="n"/>
      <c r="B57" s="8" t="n"/>
      <c r="C57" s="4" t="n"/>
      <c r="D57" s="4" t="n"/>
      <c r="E57" s="6">
        <f>SUMPRODUCT(('Trade Log'!A2:A101=A57)*('Trade Log'!K2:K101))</f>
        <v/>
      </c>
      <c r="F57" s="8" t="n"/>
      <c r="G57" s="8" t="n"/>
      <c r="H57" s="4" t="n"/>
      <c r="I57" s="4" t="n"/>
    </row>
    <row r="58">
      <c r="A58" s="2" t="n"/>
      <c r="B58" s="8" t="n"/>
      <c r="C58" s="4" t="n"/>
      <c r="D58" s="4" t="n"/>
      <c r="E58" s="6">
        <f>SUMPRODUCT(('Trade Log'!A2:A101=A58)*('Trade Log'!K2:K101))</f>
        <v/>
      </c>
      <c r="F58" s="8" t="n"/>
      <c r="G58" s="8" t="n"/>
      <c r="H58" s="4" t="n"/>
      <c r="I58" s="4" t="n"/>
    </row>
    <row r="59">
      <c r="A59" s="2" t="n"/>
      <c r="B59" s="8" t="n"/>
      <c r="C59" s="4" t="n"/>
      <c r="D59" s="4" t="n"/>
      <c r="E59" s="6">
        <f>SUMPRODUCT(('Trade Log'!A2:A101=A59)*('Trade Log'!K2:K101))</f>
        <v/>
      </c>
      <c r="F59" s="8" t="n"/>
      <c r="G59" s="8" t="n"/>
      <c r="H59" s="4" t="n"/>
      <c r="I59" s="4" t="n"/>
    </row>
    <row r="60">
      <c r="A60" s="2" t="n"/>
      <c r="B60" s="8" t="n"/>
      <c r="C60" s="4" t="n"/>
      <c r="D60" s="4" t="n"/>
      <c r="E60" s="6">
        <f>SUMPRODUCT(('Trade Log'!A2:A101=A60)*('Trade Log'!K2:K101))</f>
        <v/>
      </c>
      <c r="F60" s="8" t="n"/>
      <c r="G60" s="8" t="n"/>
      <c r="H60" s="4" t="n"/>
      <c r="I60" s="4" t="n"/>
    </row>
    <row r="61">
      <c r="A61" s="2" t="n"/>
      <c r="B61" s="8" t="n"/>
      <c r="C61" s="4" t="n"/>
      <c r="D61" s="4" t="n"/>
      <c r="E61" s="6">
        <f>SUMPRODUCT(('Trade Log'!A2:A101=A61)*('Trade Log'!K2:K101))</f>
        <v/>
      </c>
      <c r="F61" s="8" t="n"/>
      <c r="G61" s="8" t="n"/>
      <c r="H61" s="4" t="n"/>
      <c r="I61" s="4" t="n"/>
    </row>
    <row r="62">
      <c r="A62" s="2" t="n"/>
      <c r="B62" s="8" t="n"/>
      <c r="C62" s="4" t="n"/>
      <c r="D62" s="4" t="n"/>
      <c r="E62" s="6">
        <f>SUMPRODUCT(('Trade Log'!A2:A101=A62)*('Trade Log'!K2:K101))</f>
        <v/>
      </c>
      <c r="F62" s="8" t="n"/>
      <c r="G62" s="8" t="n"/>
      <c r="H62" s="4" t="n"/>
      <c r="I62" s="4" t="n"/>
    </row>
    <row r="63">
      <c r="A63" s="2" t="n"/>
      <c r="B63" s="8" t="n"/>
      <c r="C63" s="4" t="n"/>
      <c r="D63" s="4" t="n"/>
      <c r="E63" s="6">
        <f>SUMPRODUCT(('Trade Log'!A2:A101=A63)*('Trade Log'!K2:K101))</f>
        <v/>
      </c>
      <c r="F63" s="8" t="n"/>
      <c r="G63" s="8" t="n"/>
      <c r="H63" s="4" t="n"/>
      <c r="I63" s="4" t="n"/>
    </row>
    <row r="64">
      <c r="A64" s="2" t="n"/>
      <c r="B64" s="8" t="n"/>
      <c r="C64" s="4" t="n"/>
      <c r="D64" s="4" t="n"/>
      <c r="E64" s="6">
        <f>SUMPRODUCT(('Trade Log'!A2:A101=A64)*('Trade Log'!K2:K101))</f>
        <v/>
      </c>
      <c r="F64" s="8" t="n"/>
      <c r="G64" s="8" t="n"/>
      <c r="H64" s="4" t="n"/>
      <c r="I64" s="4" t="n"/>
    </row>
    <row r="65">
      <c r="A65" s="2" t="n"/>
      <c r="B65" s="8" t="n"/>
      <c r="C65" s="4" t="n"/>
      <c r="D65" s="4" t="n"/>
      <c r="E65" s="6">
        <f>SUMPRODUCT(('Trade Log'!A2:A101=A65)*('Trade Log'!K2:K101))</f>
        <v/>
      </c>
      <c r="F65" s="8" t="n"/>
      <c r="G65" s="8" t="n"/>
      <c r="H65" s="4" t="n"/>
      <c r="I65" s="4" t="n"/>
    </row>
    <row r="66">
      <c r="A66" s="2" t="n"/>
      <c r="B66" s="8" t="n"/>
      <c r="C66" s="4" t="n"/>
      <c r="D66" s="4" t="n"/>
      <c r="E66" s="6">
        <f>SUMPRODUCT(('Trade Log'!A2:A101=A66)*('Trade Log'!K2:K101))</f>
        <v/>
      </c>
      <c r="F66" s="8" t="n"/>
      <c r="G66" s="8" t="n"/>
      <c r="H66" s="4" t="n"/>
      <c r="I66" s="4" t="n"/>
    </row>
    <row r="67">
      <c r="A67" s="2" t="n"/>
      <c r="B67" s="8" t="n"/>
      <c r="C67" s="4" t="n"/>
      <c r="D67" s="4" t="n"/>
      <c r="E67" s="6">
        <f>SUMPRODUCT(('Trade Log'!A2:A101=A67)*('Trade Log'!K2:K101))</f>
        <v/>
      </c>
      <c r="F67" s="8" t="n"/>
      <c r="G67" s="8" t="n"/>
      <c r="H67" s="4" t="n"/>
      <c r="I67" s="4" t="n"/>
    </row>
    <row r="68">
      <c r="A68" s="2" t="n"/>
      <c r="B68" s="8" t="n"/>
      <c r="C68" s="4" t="n"/>
      <c r="D68" s="4" t="n"/>
      <c r="E68" s="6">
        <f>SUMPRODUCT(('Trade Log'!A2:A101=A68)*('Trade Log'!K2:K101))</f>
        <v/>
      </c>
      <c r="F68" s="8" t="n"/>
      <c r="G68" s="8" t="n"/>
      <c r="H68" s="4" t="n"/>
      <c r="I68" s="4" t="n"/>
    </row>
    <row r="69">
      <c r="A69" s="2" t="n"/>
      <c r="B69" s="8" t="n"/>
      <c r="C69" s="4" t="n"/>
      <c r="D69" s="4" t="n"/>
      <c r="E69" s="6">
        <f>SUMPRODUCT(('Trade Log'!A2:A101=A69)*('Trade Log'!K2:K101))</f>
        <v/>
      </c>
      <c r="F69" s="8" t="n"/>
      <c r="G69" s="8" t="n"/>
      <c r="H69" s="4" t="n"/>
      <c r="I69" s="4" t="n"/>
    </row>
    <row r="70">
      <c r="A70" s="2" t="n"/>
      <c r="B70" s="8" t="n"/>
      <c r="C70" s="4" t="n"/>
      <c r="D70" s="4" t="n"/>
      <c r="E70" s="6">
        <f>SUMPRODUCT(('Trade Log'!A2:A101=A70)*('Trade Log'!K2:K101))</f>
        <v/>
      </c>
      <c r="F70" s="8" t="n"/>
      <c r="G70" s="8" t="n"/>
      <c r="H70" s="4" t="n"/>
      <c r="I70" s="4" t="n"/>
    </row>
    <row r="71">
      <c r="A71" s="2" t="n"/>
      <c r="B71" s="8" t="n"/>
      <c r="C71" s="4" t="n"/>
      <c r="D71" s="4" t="n"/>
      <c r="E71" s="6">
        <f>SUMPRODUCT(('Trade Log'!A2:A101=A71)*('Trade Log'!K2:K101))</f>
        <v/>
      </c>
      <c r="F71" s="8" t="n"/>
      <c r="G71" s="8" t="n"/>
      <c r="H71" s="4" t="n"/>
      <c r="I71" s="4" t="n"/>
    </row>
    <row r="72">
      <c r="A72" s="2" t="n"/>
      <c r="B72" s="8" t="n"/>
      <c r="C72" s="4" t="n"/>
      <c r="D72" s="4" t="n"/>
      <c r="E72" s="6">
        <f>SUMPRODUCT(('Trade Log'!A2:A101=A72)*('Trade Log'!K2:K101))</f>
        <v/>
      </c>
      <c r="F72" s="8" t="n"/>
      <c r="G72" s="8" t="n"/>
      <c r="H72" s="4" t="n"/>
      <c r="I72" s="4" t="n"/>
    </row>
    <row r="73">
      <c r="A73" s="2" t="n"/>
      <c r="B73" s="8" t="n"/>
      <c r="C73" s="4" t="n"/>
      <c r="D73" s="4" t="n"/>
      <c r="E73" s="6">
        <f>SUMPRODUCT(('Trade Log'!A2:A101=A73)*('Trade Log'!K2:K101))</f>
        <v/>
      </c>
      <c r="F73" s="8" t="n"/>
      <c r="G73" s="8" t="n"/>
      <c r="H73" s="4" t="n"/>
      <c r="I73" s="4" t="n"/>
    </row>
    <row r="74">
      <c r="A74" s="2" t="n"/>
      <c r="B74" s="8" t="n"/>
      <c r="C74" s="4" t="n"/>
      <c r="D74" s="4" t="n"/>
      <c r="E74" s="6">
        <f>SUMPRODUCT(('Trade Log'!A2:A101=A74)*('Trade Log'!K2:K101))</f>
        <v/>
      </c>
      <c r="F74" s="8" t="n"/>
      <c r="G74" s="8" t="n"/>
      <c r="H74" s="4" t="n"/>
      <c r="I74" s="4" t="n"/>
    </row>
    <row r="75">
      <c r="A75" s="2" t="n"/>
      <c r="B75" s="8" t="n"/>
      <c r="C75" s="4" t="n"/>
      <c r="D75" s="4" t="n"/>
      <c r="E75" s="6">
        <f>SUMPRODUCT(('Trade Log'!A2:A101=A75)*('Trade Log'!K2:K101))</f>
        <v/>
      </c>
      <c r="F75" s="8" t="n"/>
      <c r="G75" s="8" t="n"/>
      <c r="H75" s="4" t="n"/>
      <c r="I75" s="4" t="n"/>
    </row>
    <row r="76">
      <c r="A76" s="2" t="n"/>
      <c r="B76" s="8" t="n"/>
      <c r="C76" s="4" t="n"/>
      <c r="D76" s="4" t="n"/>
      <c r="E76" s="6">
        <f>SUMPRODUCT(('Trade Log'!A2:A101=A76)*('Trade Log'!K2:K101))</f>
        <v/>
      </c>
      <c r="F76" s="8" t="n"/>
      <c r="G76" s="8" t="n"/>
      <c r="H76" s="4" t="n"/>
      <c r="I76" s="4" t="n"/>
    </row>
    <row r="77">
      <c r="A77" s="2" t="n"/>
      <c r="B77" s="8" t="n"/>
      <c r="C77" s="4" t="n"/>
      <c r="D77" s="4" t="n"/>
      <c r="E77" s="6">
        <f>SUMPRODUCT(('Trade Log'!A2:A101=A77)*('Trade Log'!K2:K101))</f>
        <v/>
      </c>
      <c r="F77" s="8" t="n"/>
      <c r="G77" s="8" t="n"/>
      <c r="H77" s="4" t="n"/>
      <c r="I77" s="4" t="n"/>
    </row>
    <row r="78">
      <c r="A78" s="2" t="n"/>
      <c r="B78" s="8" t="n"/>
      <c r="C78" s="4" t="n"/>
      <c r="D78" s="4" t="n"/>
      <c r="E78" s="6">
        <f>SUMPRODUCT(('Trade Log'!A2:A101=A78)*('Trade Log'!K2:K101))</f>
        <v/>
      </c>
      <c r="F78" s="8" t="n"/>
      <c r="G78" s="8" t="n"/>
      <c r="H78" s="4" t="n"/>
      <c r="I78" s="4" t="n"/>
    </row>
    <row r="79">
      <c r="A79" s="2" t="n"/>
      <c r="B79" s="8" t="n"/>
      <c r="C79" s="4" t="n"/>
      <c r="D79" s="4" t="n"/>
      <c r="E79" s="6">
        <f>SUMPRODUCT(('Trade Log'!A2:A101=A79)*('Trade Log'!K2:K101))</f>
        <v/>
      </c>
      <c r="F79" s="8" t="n"/>
      <c r="G79" s="8" t="n"/>
      <c r="H79" s="4" t="n"/>
      <c r="I79" s="4" t="n"/>
    </row>
    <row r="80">
      <c r="A80" s="2" t="n"/>
      <c r="B80" s="8" t="n"/>
      <c r="C80" s="4" t="n"/>
      <c r="D80" s="4" t="n"/>
      <c r="E80" s="6">
        <f>SUMPRODUCT(('Trade Log'!A2:A101=A80)*('Trade Log'!K2:K101))</f>
        <v/>
      </c>
      <c r="F80" s="8" t="n"/>
      <c r="G80" s="8" t="n"/>
      <c r="H80" s="4" t="n"/>
      <c r="I80" s="4" t="n"/>
    </row>
    <row r="81">
      <c r="A81" s="2" t="n"/>
      <c r="B81" s="8" t="n"/>
      <c r="C81" s="4" t="n"/>
      <c r="D81" s="4" t="n"/>
      <c r="E81" s="6">
        <f>SUMPRODUCT(('Trade Log'!A2:A101=A81)*('Trade Log'!K2:K101))</f>
        <v/>
      </c>
      <c r="F81" s="8" t="n"/>
      <c r="G81" s="8" t="n"/>
      <c r="H81" s="4" t="n"/>
      <c r="I81" s="4" t="n"/>
    </row>
    <row r="82">
      <c r="A82" s="2" t="n"/>
      <c r="B82" s="8" t="n"/>
      <c r="C82" s="4" t="n"/>
      <c r="D82" s="4" t="n"/>
      <c r="E82" s="6">
        <f>SUMPRODUCT(('Trade Log'!A2:A101=A82)*('Trade Log'!K2:K101))</f>
        <v/>
      </c>
      <c r="F82" s="8" t="n"/>
      <c r="G82" s="8" t="n"/>
      <c r="H82" s="4" t="n"/>
      <c r="I82" s="4" t="n"/>
    </row>
    <row r="83">
      <c r="A83" s="2" t="n"/>
      <c r="B83" s="8" t="n"/>
      <c r="C83" s="4" t="n"/>
      <c r="D83" s="4" t="n"/>
      <c r="E83" s="6">
        <f>SUMPRODUCT(('Trade Log'!A2:A101=A83)*('Trade Log'!K2:K101))</f>
        <v/>
      </c>
      <c r="F83" s="8" t="n"/>
      <c r="G83" s="8" t="n"/>
      <c r="H83" s="4" t="n"/>
      <c r="I83" s="4" t="n"/>
    </row>
    <row r="84">
      <c r="A84" s="2" t="n"/>
      <c r="B84" s="8" t="n"/>
      <c r="C84" s="4" t="n"/>
      <c r="D84" s="4" t="n"/>
      <c r="E84" s="6">
        <f>SUMPRODUCT(('Trade Log'!A2:A101=A84)*('Trade Log'!K2:K101))</f>
        <v/>
      </c>
      <c r="F84" s="8" t="n"/>
      <c r="G84" s="8" t="n"/>
      <c r="H84" s="4" t="n"/>
      <c r="I84" s="4" t="n"/>
    </row>
    <row r="85">
      <c r="A85" s="2" t="n"/>
      <c r="B85" s="8" t="n"/>
      <c r="C85" s="4" t="n"/>
      <c r="D85" s="4" t="n"/>
      <c r="E85" s="6">
        <f>SUMPRODUCT(('Trade Log'!A2:A101=A85)*('Trade Log'!K2:K101))</f>
        <v/>
      </c>
      <c r="F85" s="8" t="n"/>
      <c r="G85" s="8" t="n"/>
      <c r="H85" s="4" t="n"/>
      <c r="I85" s="4" t="n"/>
    </row>
    <row r="86">
      <c r="A86" s="2" t="n"/>
      <c r="B86" s="8" t="n"/>
      <c r="C86" s="4" t="n"/>
      <c r="D86" s="4" t="n"/>
      <c r="E86" s="6">
        <f>SUMPRODUCT(('Trade Log'!A2:A101=A86)*('Trade Log'!K2:K101))</f>
        <v/>
      </c>
      <c r="F86" s="8" t="n"/>
      <c r="G86" s="8" t="n"/>
      <c r="H86" s="4" t="n"/>
      <c r="I86" s="4" t="n"/>
    </row>
    <row r="87">
      <c r="A87" s="2" t="n"/>
      <c r="B87" s="8" t="n"/>
      <c r="C87" s="4" t="n"/>
      <c r="D87" s="4" t="n"/>
      <c r="E87" s="6">
        <f>SUMPRODUCT(('Trade Log'!A2:A101=A87)*('Trade Log'!K2:K101))</f>
        <v/>
      </c>
      <c r="F87" s="8" t="n"/>
      <c r="G87" s="8" t="n"/>
      <c r="H87" s="4" t="n"/>
      <c r="I87" s="4" t="n"/>
    </row>
    <row r="88">
      <c r="A88" s="2" t="n"/>
      <c r="B88" s="8" t="n"/>
      <c r="C88" s="4" t="n"/>
      <c r="D88" s="4" t="n"/>
      <c r="E88" s="6">
        <f>SUMPRODUCT(('Trade Log'!A2:A101=A88)*('Trade Log'!K2:K101))</f>
        <v/>
      </c>
      <c r="F88" s="8" t="n"/>
      <c r="G88" s="8" t="n"/>
      <c r="H88" s="4" t="n"/>
      <c r="I88" s="4" t="n"/>
    </row>
    <row r="89">
      <c r="A89" s="2" t="n"/>
      <c r="B89" s="8" t="n"/>
      <c r="C89" s="4" t="n"/>
      <c r="D89" s="4" t="n"/>
      <c r="E89" s="6">
        <f>SUMPRODUCT(('Trade Log'!A2:A101=A89)*('Trade Log'!K2:K101))</f>
        <v/>
      </c>
      <c r="F89" s="8" t="n"/>
      <c r="G89" s="8" t="n"/>
      <c r="H89" s="4" t="n"/>
      <c r="I89" s="4" t="n"/>
    </row>
    <row r="90">
      <c r="A90" s="2" t="n"/>
      <c r="B90" s="8" t="n"/>
      <c r="C90" s="4" t="n"/>
      <c r="D90" s="4" t="n"/>
      <c r="E90" s="6">
        <f>SUMPRODUCT(('Trade Log'!A2:A101=A90)*('Trade Log'!K2:K101))</f>
        <v/>
      </c>
      <c r="F90" s="8" t="n"/>
      <c r="G90" s="8" t="n"/>
      <c r="H90" s="4" t="n"/>
      <c r="I90" s="4" t="n"/>
    </row>
    <row r="91">
      <c r="A91" s="2" t="n"/>
      <c r="B91" s="8" t="n"/>
      <c r="C91" s="4" t="n"/>
      <c r="D91" s="4" t="n"/>
      <c r="E91" s="6">
        <f>SUMPRODUCT(('Trade Log'!A2:A101=A91)*('Trade Log'!K2:K101))</f>
        <v/>
      </c>
      <c r="F91" s="8" t="n"/>
      <c r="G91" s="8" t="n"/>
      <c r="H91" s="4" t="n"/>
      <c r="I91" s="4" t="n"/>
    </row>
    <row r="92">
      <c r="A92" s="2" t="n"/>
      <c r="B92" s="8" t="n"/>
      <c r="C92" s="4" t="n"/>
      <c r="D92" s="4" t="n"/>
      <c r="E92" s="6">
        <f>SUMPRODUCT(('Trade Log'!A2:A101=A92)*('Trade Log'!K2:K101))</f>
        <v/>
      </c>
      <c r="F92" s="8" t="n"/>
      <c r="G92" s="8" t="n"/>
      <c r="H92" s="4" t="n"/>
      <c r="I92" s="4" t="n"/>
    </row>
    <row r="93">
      <c r="A93" s="2" t="n"/>
      <c r="B93" s="8" t="n"/>
      <c r="C93" s="4" t="n"/>
      <c r="D93" s="4" t="n"/>
      <c r="E93" s="6">
        <f>SUMPRODUCT(('Trade Log'!A2:A101=A93)*('Trade Log'!K2:K101))</f>
        <v/>
      </c>
      <c r="F93" s="8" t="n"/>
      <c r="G93" s="8" t="n"/>
      <c r="H93" s="4" t="n"/>
      <c r="I93" s="4" t="n"/>
    </row>
    <row r="94">
      <c r="A94" s="2" t="n"/>
      <c r="B94" s="8" t="n"/>
      <c r="C94" s="4" t="n"/>
      <c r="D94" s="4" t="n"/>
      <c r="E94" s="6">
        <f>SUMPRODUCT(('Trade Log'!A2:A101=A94)*('Trade Log'!K2:K101))</f>
        <v/>
      </c>
      <c r="F94" s="8" t="n"/>
      <c r="G94" s="8" t="n"/>
      <c r="H94" s="4" t="n"/>
      <c r="I94" s="4" t="n"/>
    </row>
    <row r="95">
      <c r="A95" s="2" t="n"/>
      <c r="B95" s="8" t="n"/>
      <c r="C95" s="4" t="n"/>
      <c r="D95" s="4" t="n"/>
      <c r="E95" s="6">
        <f>SUMPRODUCT(('Trade Log'!A2:A101=A95)*('Trade Log'!K2:K101))</f>
        <v/>
      </c>
      <c r="F95" s="8" t="n"/>
      <c r="G95" s="8" t="n"/>
      <c r="H95" s="4" t="n"/>
      <c r="I95" s="4" t="n"/>
    </row>
    <row r="96">
      <c r="A96" s="2" t="n"/>
      <c r="B96" s="8" t="n"/>
      <c r="C96" s="4" t="n"/>
      <c r="D96" s="4" t="n"/>
      <c r="E96" s="6">
        <f>SUMPRODUCT(('Trade Log'!A2:A101=A96)*('Trade Log'!K2:K101))</f>
        <v/>
      </c>
      <c r="F96" s="8" t="n"/>
      <c r="G96" s="8" t="n"/>
      <c r="H96" s="4" t="n"/>
      <c r="I96" s="4" t="n"/>
    </row>
    <row r="97">
      <c r="A97" s="2" t="n"/>
      <c r="B97" s="8" t="n"/>
      <c r="C97" s="4" t="n"/>
      <c r="D97" s="4" t="n"/>
      <c r="E97" s="6">
        <f>SUMPRODUCT(('Trade Log'!A2:A101=A97)*('Trade Log'!K2:K101))</f>
        <v/>
      </c>
      <c r="F97" s="8" t="n"/>
      <c r="G97" s="8" t="n"/>
      <c r="H97" s="4" t="n"/>
      <c r="I97" s="4" t="n"/>
    </row>
    <row r="98">
      <c r="A98" s="2" t="n"/>
      <c r="B98" s="8" t="n"/>
      <c r="C98" s="4" t="n"/>
      <c r="D98" s="4" t="n"/>
      <c r="E98" s="6">
        <f>SUMPRODUCT(('Trade Log'!A2:A101=A98)*('Trade Log'!K2:K101))</f>
        <v/>
      </c>
      <c r="F98" s="8" t="n"/>
      <c r="G98" s="8" t="n"/>
      <c r="H98" s="4" t="n"/>
      <c r="I98" s="4" t="n"/>
    </row>
    <row r="99">
      <c r="A99" s="2" t="n"/>
      <c r="B99" s="8" t="n"/>
      <c r="C99" s="4" t="n"/>
      <c r="D99" s="4" t="n"/>
      <c r="E99" s="6">
        <f>SUMPRODUCT(('Trade Log'!A2:A101=A99)*('Trade Log'!K2:K101))</f>
        <v/>
      </c>
      <c r="F99" s="8" t="n"/>
      <c r="G99" s="8" t="n"/>
      <c r="H99" s="4" t="n"/>
      <c r="I99" s="4" t="n"/>
    </row>
    <row r="100">
      <c r="A100" s="2" t="n"/>
      <c r="B100" s="8" t="n"/>
      <c r="C100" s="4" t="n"/>
      <c r="D100" s="4" t="n"/>
      <c r="E100" s="6">
        <f>SUMPRODUCT(('Trade Log'!A2:A101=A100)*('Trade Log'!K2:K101))</f>
        <v/>
      </c>
      <c r="F100" s="8" t="n"/>
      <c r="G100" s="8" t="n"/>
      <c r="H100" s="4" t="n"/>
      <c r="I100" s="4" t="n"/>
    </row>
    <row r="101">
      <c r="A101" s="2" t="n"/>
      <c r="B101" s="8" t="n"/>
      <c r="C101" s="4" t="n"/>
      <c r="D101" s="4" t="n"/>
      <c r="E101" s="6">
        <f>SUMPRODUCT(('Trade Log'!A2:A101=A101)*('Trade Log'!K2:K101))</f>
        <v/>
      </c>
      <c r="F101" s="8" t="n"/>
      <c r="G101" s="8" t="n"/>
      <c r="H101" s="4" t="n"/>
      <c r="I101" s="4" t="n"/>
    </row>
    <row r="102">
      <c r="A102" s="2" t="n"/>
      <c r="B102" s="8" t="n"/>
      <c r="C102" s="4" t="n"/>
      <c r="D102" s="4" t="n"/>
      <c r="E102" s="6">
        <f>SUMPRODUCT(('Trade Log'!A2:A101=A102)*('Trade Log'!K2:K101))</f>
        <v/>
      </c>
      <c r="F102" s="8" t="n"/>
      <c r="G102" s="8" t="n"/>
      <c r="H102" s="4" t="n"/>
      <c r="I102" s="4" t="n"/>
    </row>
    <row r="103">
      <c r="A103" s="2" t="n"/>
      <c r="B103" s="8" t="n"/>
      <c r="C103" s="4" t="n"/>
      <c r="D103" s="4" t="n"/>
      <c r="E103" s="6">
        <f>SUMPRODUCT(('Trade Log'!A2:A101=A103)*('Trade Log'!K2:K101))</f>
        <v/>
      </c>
      <c r="F103" s="8" t="n"/>
      <c r="G103" s="8" t="n"/>
      <c r="H103" s="4" t="n"/>
      <c r="I103" s="4" t="n"/>
    </row>
    <row r="104">
      <c r="A104" s="2" t="n"/>
      <c r="B104" s="8" t="n"/>
      <c r="C104" s="4" t="n"/>
      <c r="D104" s="4" t="n"/>
      <c r="E104" s="6">
        <f>SUMPRODUCT(('Trade Log'!A2:A101=A104)*('Trade Log'!K2:K101))</f>
        <v/>
      </c>
      <c r="F104" s="8" t="n"/>
      <c r="G104" s="8" t="n"/>
      <c r="H104" s="4" t="n"/>
      <c r="I104" s="4" t="n"/>
    </row>
    <row r="105">
      <c r="A105" s="2" t="n"/>
      <c r="B105" s="8" t="n"/>
      <c r="C105" s="4" t="n"/>
      <c r="D105" s="4" t="n"/>
      <c r="E105" s="6">
        <f>SUMPRODUCT(('Trade Log'!A2:A101=A105)*('Trade Log'!K2:K101))</f>
        <v/>
      </c>
      <c r="F105" s="8" t="n"/>
      <c r="G105" s="8" t="n"/>
      <c r="H105" s="4" t="n"/>
      <c r="I105" s="4" t="n"/>
    </row>
    <row r="106">
      <c r="A106" s="2" t="n"/>
      <c r="B106" s="8" t="n"/>
      <c r="C106" s="4" t="n"/>
      <c r="D106" s="4" t="n"/>
      <c r="E106" s="6">
        <f>SUMPRODUCT(('Trade Log'!A2:A101=A106)*('Trade Log'!K2:K101))</f>
        <v/>
      </c>
      <c r="F106" s="8" t="n"/>
      <c r="G106" s="8" t="n"/>
      <c r="H106" s="4" t="n"/>
      <c r="I106" s="4" t="n"/>
    </row>
  </sheetData>
  <conditionalFormatting sqref="E5:E106">
    <cfRule type="cellIs" priority="1" operator="greaterThan" dxfId="0">
      <formula>0</formula>
    </cfRule>
    <cfRule type="cellIs" priority="2" operator="lessThan" dxfId="1">
      <formula>0</formula>
    </cfRule>
  </conditionalFormatting>
  <dataValidations count="2">
    <dataValidation sqref="H5:H106 I5:I106" showDropDown="0" showInputMessage="0" showErrorMessage="0" allowBlank="1" type="whole" operator="between">
      <formula1>1</formula1>
      <formula2>5</formula2>
    </dataValidation>
    <dataValidation sqref="C5:C106" showDropDown="0" showInputMessage="0" showErrorMessage="0" allowBlank="1" type="list">
      <formula1>"Bullish,Bearish,Neutral,Choppy"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A1A1A"/>
    <outlinePr summaryBelow="1" summaryRight="1"/>
    <pageSetUpPr/>
  </sheetPr>
  <dimension ref="B2:B30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2">
      <c r="B2" s="9" t="inlineStr">
        <is>
          <t>Free Trading Journal Template</t>
        </is>
      </c>
    </row>
    <row r="3">
      <c r="B3" s="21" t="inlineStr">
        <is>
          <t>by TradingJournal.com</t>
        </is>
      </c>
    </row>
    <row r="4">
      <c r="B4" t="inlineStr"/>
    </row>
    <row r="5">
      <c r="B5" s="22" t="inlineStr">
        <is>
          <t>GETTING STARTED</t>
        </is>
      </c>
    </row>
    <row r="6">
      <c r="B6" s="23" t="inlineStr">
        <is>
          <t>1. Go to the Trade Log tab and start entering your trades.</t>
        </is>
      </c>
    </row>
    <row r="7">
      <c r="B7" s="23" t="inlineStr">
        <is>
          <t>2. The Dashboard tab auto-calculates your stats — no manual work needed.</t>
        </is>
      </c>
    </row>
    <row r="8">
      <c r="B8" s="23" t="inlineStr">
        <is>
          <t>3. Use the Daily Log tab to track your mindset and daily reflections.</t>
        </is>
      </c>
    </row>
    <row r="9">
      <c r="B9" t="inlineStr"/>
    </row>
    <row r="10">
      <c r="B10" s="22" t="inlineStr">
        <is>
          <t>TRADE LOG TIPS</t>
        </is>
      </c>
    </row>
    <row r="11">
      <c r="B11" s="23" t="inlineStr">
        <is>
          <t>- Side: Select Long or Short from the dropdown.</t>
        </is>
      </c>
    </row>
    <row r="12">
      <c r="B12" s="23" t="inlineStr">
        <is>
          <t>- Gross P&amp;L and Net P&amp;L are auto-calculated from your entry/exit prices.</t>
        </is>
      </c>
    </row>
    <row r="13">
      <c r="B13" s="23" t="inlineStr">
        <is>
          <t>- Add your commission/fees in the Fees column.</t>
        </is>
      </c>
    </row>
    <row r="14">
      <c r="B14" s="23" t="inlineStr">
        <is>
          <t>- Use the Strategy column consistently (e.g., always 'Breakout', not 'breakout').</t>
        </is>
      </c>
    </row>
    <row r="15">
      <c r="B15" s="23" t="inlineStr">
        <is>
          <t>- The Notes column is your best friend — write WHY you took the trade.</t>
        </is>
      </c>
    </row>
    <row r="16">
      <c r="B16" t="inlineStr"/>
    </row>
    <row r="17">
      <c r="B17" s="22" t="inlineStr">
        <is>
          <t>DASHBOARD TIPS</t>
        </is>
      </c>
    </row>
    <row r="18">
      <c r="B18" s="23" t="inlineStr">
        <is>
          <t>- All metrics update automatically as you add trades.</t>
        </is>
      </c>
    </row>
    <row r="19">
      <c r="B19" s="23" t="inlineStr">
        <is>
          <t>- Strategy Breakdown shows which setups actually make you money.</t>
        </is>
      </c>
    </row>
    <row r="20">
      <c r="B20" s="23" t="inlineStr">
        <is>
          <t>- Cumulative P&amp;L helps you spot drawdown periods.</t>
        </is>
      </c>
    </row>
    <row r="21">
      <c r="B21" t="inlineStr"/>
    </row>
    <row r="22">
      <c r="B22" s="22" t="inlineStr">
        <is>
          <t>DAILY LOG TIPS</t>
        </is>
      </c>
    </row>
    <row r="23">
      <c r="B23" s="23" t="inlineStr">
        <is>
          <t>- Fill this out at the end of each trading day.</t>
        </is>
      </c>
    </row>
    <row r="24">
      <c r="B24" s="23" t="inlineStr">
        <is>
          <t>- Daily P&amp;L pulls automatically from your Trade Log.</t>
        </is>
      </c>
    </row>
    <row r="25">
      <c r="B25" s="23" t="inlineStr">
        <is>
          <t>- Rate your mood before trading (1-5) and your execution after (1-5).</t>
        </is>
      </c>
    </row>
    <row r="26">
      <c r="B26" s="23" t="inlineStr">
        <is>
          <t>- Be honest in 'What To Improve' — this is where real growth happens.</t>
        </is>
      </c>
    </row>
    <row r="27">
      <c r="B27" t="inlineStr"/>
    </row>
    <row r="28">
      <c r="B28" s="22" t="inlineStr">
        <is>
          <t>NEED MORE?</t>
        </is>
      </c>
    </row>
    <row r="29">
      <c r="B29" s="23" t="inlineStr">
        <is>
          <t>If you outgrow this spreadsheet, check out our reviews of dedicated</t>
        </is>
      </c>
    </row>
    <row r="30">
      <c r="B30" s="23" t="inlineStr">
        <is>
          <t>trading journal software at tradingjournal.com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2026-03-02T20:05:58Z</dcterms:created>
  <dcterms:modified xsi:type="dcterms:W3CDTF">2026-03-02T20:05:59Z</dcterms:modified>
</cp:coreProperties>
</file>